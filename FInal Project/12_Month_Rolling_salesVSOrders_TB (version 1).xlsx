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Sales\Försäljning\Interna dokument\Statistik\2024\"/>
    </mc:Choice>
  </mc:AlternateContent>
  <xr:revisionPtr revIDLastSave="0" documentId="13_ncr:1_{C3F2579E-AFD7-45C4-8FC1-E4F79D94AF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2 month Rooling graph" sheetId="6" r:id="rId1"/>
    <sheet name="Data" sheetId="1" r:id="rId2"/>
    <sheet name="PMI Sweden" sheetId="7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93" i="1" l="1"/>
  <c r="D294" i="1"/>
  <c r="D295" i="1"/>
  <c r="D296" i="1"/>
  <c r="D300" i="1"/>
  <c r="D301" i="1"/>
  <c r="D302" i="1"/>
  <c r="D303" i="1"/>
  <c r="D304" i="1"/>
  <c r="C293" i="1"/>
  <c r="C294" i="1"/>
  <c r="C295" i="1"/>
  <c r="C296" i="1"/>
  <c r="C297" i="1"/>
  <c r="D297" i="1" s="1"/>
  <c r="C298" i="1"/>
  <c r="D298" i="1" s="1"/>
  <c r="C299" i="1"/>
  <c r="C300" i="1"/>
  <c r="C301" i="1"/>
  <c r="C302" i="1"/>
  <c r="C303" i="1"/>
  <c r="C304" i="1"/>
  <c r="C305" i="1"/>
  <c r="D305" i="1" s="1"/>
  <c r="C306" i="1"/>
  <c r="D306" i="1" s="1"/>
  <c r="C307" i="1"/>
  <c r="B293" i="1"/>
  <c r="B294" i="1"/>
  <c r="B295" i="1"/>
  <c r="B296" i="1"/>
  <c r="B297" i="1"/>
  <c r="B298" i="1"/>
  <c r="B299" i="1"/>
  <c r="D299" i="1" s="1"/>
  <c r="B300" i="1"/>
  <c r="B301" i="1"/>
  <c r="B302" i="1"/>
  <c r="B303" i="1"/>
  <c r="B304" i="1"/>
  <c r="B305" i="1"/>
  <c r="B306" i="1"/>
  <c r="B307" i="1"/>
  <c r="D307" i="1" s="1"/>
  <c r="B288" i="1"/>
  <c r="C288" i="1"/>
  <c r="B289" i="1"/>
  <c r="C289" i="1"/>
  <c r="D289" i="1" s="1"/>
  <c r="B290" i="1"/>
  <c r="C290" i="1"/>
  <c r="D290" i="1" s="1"/>
  <c r="B291" i="1"/>
  <c r="C291" i="1"/>
  <c r="B292" i="1"/>
  <c r="C292" i="1"/>
  <c r="C283" i="1"/>
  <c r="C284" i="1"/>
  <c r="C285" i="1"/>
  <c r="C286" i="1"/>
  <c r="C287" i="1"/>
  <c r="B283" i="1"/>
  <c r="D283" i="1" s="1"/>
  <c r="B284" i="1"/>
  <c r="B285" i="1"/>
  <c r="B286" i="1"/>
  <c r="B287" i="1"/>
  <c r="D285" i="1"/>
  <c r="C274" i="1"/>
  <c r="D274" i="1" s="1"/>
  <c r="C275" i="1"/>
  <c r="C276" i="1"/>
  <c r="C277" i="1"/>
  <c r="C278" i="1"/>
  <c r="C279" i="1"/>
  <c r="C280" i="1"/>
  <c r="C281" i="1"/>
  <c r="C282" i="1"/>
  <c r="B274" i="1"/>
  <c r="B275" i="1"/>
  <c r="B276" i="1"/>
  <c r="B277" i="1"/>
  <c r="B278" i="1"/>
  <c r="B279" i="1"/>
  <c r="B280" i="1"/>
  <c r="B281" i="1"/>
  <c r="B282" i="1"/>
  <c r="D276" i="1"/>
  <c r="D277" i="1"/>
  <c r="D278" i="1"/>
  <c r="D279" i="1"/>
  <c r="C218" i="1"/>
  <c r="B266" i="1"/>
  <c r="C266" i="1"/>
  <c r="D266" i="1" s="1"/>
  <c r="B267" i="1"/>
  <c r="C267" i="1"/>
  <c r="D267" i="1" s="1"/>
  <c r="B268" i="1"/>
  <c r="C268" i="1"/>
  <c r="D268" i="1" s="1"/>
  <c r="B269" i="1"/>
  <c r="C269" i="1"/>
  <c r="D269" i="1" s="1"/>
  <c r="B270" i="1"/>
  <c r="C270" i="1"/>
  <c r="B271" i="1"/>
  <c r="C271" i="1"/>
  <c r="D271" i="1"/>
  <c r="B272" i="1"/>
  <c r="C272" i="1"/>
  <c r="D272" i="1" s="1"/>
  <c r="B273" i="1"/>
  <c r="C273" i="1"/>
  <c r="D273" i="1"/>
  <c r="C253" i="1"/>
  <c r="D253" i="1" s="1"/>
  <c r="C254" i="1"/>
  <c r="D254" i="1" s="1"/>
  <c r="C255" i="1"/>
  <c r="D255" i="1" s="1"/>
  <c r="C256" i="1"/>
  <c r="C257" i="1"/>
  <c r="C258" i="1"/>
  <c r="C259" i="1"/>
  <c r="C260" i="1"/>
  <c r="C261" i="1"/>
  <c r="C262" i="1"/>
  <c r="C263" i="1"/>
  <c r="C264" i="1"/>
  <c r="C265" i="1"/>
  <c r="B253" i="1"/>
  <c r="B254" i="1"/>
  <c r="B255" i="1"/>
  <c r="B256" i="1"/>
  <c r="B257" i="1"/>
  <c r="B258" i="1"/>
  <c r="D258" i="1" s="1"/>
  <c r="B259" i="1"/>
  <c r="B260" i="1"/>
  <c r="B261" i="1"/>
  <c r="B262" i="1"/>
  <c r="B263" i="1"/>
  <c r="B264" i="1"/>
  <c r="B265" i="1"/>
  <c r="D281" i="1" l="1"/>
  <c r="D264" i="1"/>
  <c r="D280" i="1"/>
  <c r="D270" i="1"/>
  <c r="D275" i="1"/>
  <c r="D292" i="1"/>
  <c r="D288" i="1"/>
  <c r="D291" i="1"/>
  <c r="D284" i="1"/>
  <c r="D287" i="1"/>
  <c r="D286" i="1"/>
  <c r="D282" i="1"/>
  <c r="D262" i="1"/>
  <c r="D265" i="1"/>
  <c r="D263" i="1"/>
  <c r="D257" i="1"/>
  <c r="D260" i="1"/>
  <c r="D256" i="1"/>
  <c r="D261" i="1"/>
  <c r="D259" i="1"/>
  <c r="B235" i="1"/>
  <c r="C235" i="1"/>
  <c r="B236" i="1"/>
  <c r="C236" i="1"/>
  <c r="B237" i="1"/>
  <c r="C237" i="1"/>
  <c r="D237" i="1" s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D236" i="1" l="1"/>
  <c r="D252" i="1"/>
  <c r="D251" i="1"/>
  <c r="D249" i="1"/>
  <c r="D248" i="1"/>
  <c r="D246" i="1"/>
  <c r="D245" i="1"/>
  <c r="D243" i="1"/>
  <c r="D242" i="1"/>
  <c r="D239" i="1"/>
  <c r="D238" i="1"/>
  <c r="D247" i="1"/>
  <c r="D241" i="1"/>
  <c r="D235" i="1"/>
  <c r="D250" i="1"/>
  <c r="D244" i="1"/>
  <c r="D24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D218" i="1" s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158" i="1"/>
  <c r="C159" i="1"/>
  <c r="C160" i="1"/>
  <c r="B158" i="1"/>
  <c r="B159" i="1"/>
  <c r="B160" i="1"/>
  <c r="C155" i="1"/>
  <c r="C156" i="1"/>
  <c r="C157" i="1"/>
  <c r="B155" i="1"/>
  <c r="B156" i="1"/>
  <c r="B157" i="1"/>
  <c r="C154" i="1"/>
  <c r="B154" i="1"/>
  <c r="B153" i="1"/>
  <c r="C152" i="1"/>
  <c r="C153" i="1"/>
  <c r="B152" i="1"/>
  <c r="B148" i="1"/>
  <c r="C148" i="1"/>
  <c r="B149" i="1"/>
  <c r="C149" i="1"/>
  <c r="B150" i="1"/>
  <c r="C150" i="1"/>
  <c r="B151" i="1"/>
  <c r="C151" i="1"/>
  <c r="B147" i="1"/>
  <c r="C147" i="1"/>
  <c r="C143" i="1"/>
  <c r="C144" i="1"/>
  <c r="C145" i="1"/>
  <c r="C146" i="1"/>
  <c r="B143" i="1"/>
  <c r="B144" i="1"/>
  <c r="B145" i="1"/>
  <c r="B146" i="1"/>
  <c r="C142" i="1"/>
  <c r="B142" i="1"/>
  <c r="C141" i="1"/>
  <c r="B141" i="1"/>
  <c r="C140" i="1"/>
  <c r="B140" i="1"/>
  <c r="C137" i="1"/>
  <c r="C138" i="1"/>
  <c r="C139" i="1"/>
  <c r="B137" i="1"/>
  <c r="B138" i="1"/>
  <c r="B139" i="1"/>
  <c r="B19" i="1"/>
  <c r="C136" i="1"/>
  <c r="B136" i="1"/>
  <c r="C135" i="1"/>
  <c r="B135" i="1"/>
  <c r="B134" i="1"/>
  <c r="C134" i="1"/>
  <c r="C132" i="1"/>
  <c r="C133" i="1"/>
  <c r="B132" i="1"/>
  <c r="B133" i="1"/>
  <c r="C131" i="1"/>
  <c r="B131" i="1"/>
  <c r="Q17" i="1"/>
  <c r="U17" i="1"/>
  <c r="T17" i="1"/>
  <c r="S17" i="1" s="1"/>
  <c r="P17" i="1"/>
  <c r="O17" i="1" s="1"/>
  <c r="T16" i="1"/>
  <c r="S16" i="1" s="1"/>
  <c r="P16" i="1"/>
  <c r="O16" i="1" s="1"/>
  <c r="T15" i="1"/>
  <c r="S15" i="1" s="1"/>
  <c r="P15" i="1"/>
  <c r="O15" i="1" s="1"/>
  <c r="T14" i="1"/>
  <c r="S14" i="1" s="1"/>
  <c r="P14" i="1"/>
  <c r="O14" i="1" s="1"/>
  <c r="T13" i="1"/>
  <c r="S13" i="1" s="1"/>
  <c r="P13" i="1"/>
  <c r="O13" i="1" s="1"/>
  <c r="T12" i="1"/>
  <c r="S12" i="1" s="1"/>
  <c r="P12" i="1"/>
  <c r="O12" i="1" s="1"/>
  <c r="T11" i="1"/>
  <c r="S11" i="1" s="1"/>
  <c r="P11" i="1"/>
  <c r="O11" i="1" s="1"/>
  <c r="P10" i="1"/>
  <c r="O10" i="1" s="1"/>
  <c r="T10" i="1"/>
  <c r="S10" i="1" s="1"/>
  <c r="T9" i="1"/>
  <c r="S9" i="1" s="1"/>
  <c r="P9" i="1"/>
  <c r="O9" i="1" s="1"/>
  <c r="T8" i="1"/>
  <c r="S8" i="1" s="1"/>
  <c r="P8" i="1"/>
  <c r="O8" i="1" s="1"/>
  <c r="T7" i="1"/>
  <c r="S7" i="1" s="1"/>
  <c r="P7" i="1"/>
  <c r="O7" i="1" s="1"/>
  <c r="C130" i="1"/>
  <c r="B130" i="1"/>
  <c r="C129" i="1"/>
  <c r="B129" i="1"/>
  <c r="C125" i="1"/>
  <c r="C126" i="1"/>
  <c r="C127" i="1"/>
  <c r="C128" i="1"/>
  <c r="B125" i="1"/>
  <c r="B126" i="1"/>
  <c r="B127" i="1"/>
  <c r="B128" i="1"/>
  <c r="C124" i="1"/>
  <c r="B124" i="1"/>
  <c r="C123" i="1"/>
  <c r="B123" i="1"/>
  <c r="C121" i="1"/>
  <c r="C122" i="1"/>
  <c r="B121" i="1"/>
  <c r="B122" i="1"/>
  <c r="C120" i="1"/>
  <c r="B120" i="1"/>
  <c r="C119" i="1"/>
  <c r="B119" i="1"/>
  <c r="C117" i="1"/>
  <c r="C118" i="1"/>
  <c r="B117" i="1"/>
  <c r="B118" i="1"/>
  <c r="C114" i="1"/>
  <c r="C115" i="1"/>
  <c r="C116" i="1"/>
  <c r="B114" i="1"/>
  <c r="B115" i="1"/>
  <c r="B1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B18" i="1"/>
  <c r="D18" i="1" s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C113" i="1"/>
  <c r="B113" i="1"/>
  <c r="C112" i="1"/>
  <c r="B112" i="1"/>
  <c r="C111" i="1"/>
  <c r="B111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D125" i="1" l="1"/>
  <c r="D59" i="1"/>
  <c r="D55" i="1"/>
  <c r="D60" i="1"/>
  <c r="D69" i="1"/>
  <c r="D206" i="1"/>
  <c r="D100" i="1"/>
  <c r="D53" i="1"/>
  <c r="D49" i="1"/>
  <c r="D41" i="1"/>
  <c r="D37" i="1"/>
  <c r="D29" i="1"/>
  <c r="D143" i="1"/>
  <c r="D233" i="1"/>
  <c r="D217" i="1"/>
  <c r="D201" i="1"/>
  <c r="D31" i="1"/>
  <c r="D138" i="1"/>
  <c r="D141" i="1"/>
  <c r="D156" i="1"/>
  <c r="D234" i="1"/>
  <c r="D230" i="1"/>
  <c r="D226" i="1"/>
  <c r="D222" i="1"/>
  <c r="D214" i="1"/>
  <c r="D210" i="1"/>
  <c r="D202" i="1"/>
  <c r="D198" i="1"/>
  <c r="D194" i="1"/>
  <c r="D190" i="1"/>
  <c r="D166" i="1"/>
  <c r="D162" i="1"/>
  <c r="D27" i="1"/>
  <c r="D132" i="1"/>
  <c r="D140" i="1"/>
  <c r="D52" i="1"/>
  <c r="D32" i="1"/>
  <c r="D144" i="1"/>
  <c r="D129" i="1"/>
  <c r="D139" i="1"/>
  <c r="D157" i="1"/>
  <c r="D185" i="1"/>
  <c r="D66" i="1"/>
  <c r="D115" i="1"/>
  <c r="D21" i="1"/>
  <c r="D87" i="1"/>
  <c r="D79" i="1"/>
  <c r="D77" i="1"/>
  <c r="D75" i="1"/>
  <c r="D24" i="1"/>
  <c r="D63" i="1"/>
  <c r="D47" i="1"/>
  <c r="D43" i="1"/>
  <c r="D35" i="1"/>
  <c r="D225" i="1"/>
  <c r="D209" i="1"/>
  <c r="D161" i="1"/>
  <c r="D25" i="1"/>
  <c r="D120" i="1"/>
  <c r="D104" i="1"/>
  <c r="D82" i="1"/>
  <c r="D65" i="1"/>
  <c r="D57" i="1"/>
  <c r="D116" i="1"/>
  <c r="D117" i="1"/>
  <c r="D193" i="1"/>
  <c r="D186" i="1"/>
  <c r="D182" i="1"/>
  <c r="D127" i="1"/>
  <c r="D51" i="1"/>
  <c r="D23" i="1"/>
  <c r="D119" i="1"/>
  <c r="D126" i="1"/>
  <c r="D142" i="1"/>
  <c r="D151" i="1"/>
  <c r="D154" i="1"/>
  <c r="D54" i="1"/>
  <c r="D40" i="1"/>
  <c r="D45" i="1"/>
  <c r="D97" i="1"/>
  <c r="D95" i="1"/>
  <c r="D93" i="1"/>
  <c r="D91" i="1"/>
  <c r="D89" i="1"/>
  <c r="D85" i="1"/>
  <c r="D81" i="1"/>
  <c r="D71" i="1"/>
  <c r="D67" i="1"/>
  <c r="D111" i="1"/>
  <c r="D39" i="1"/>
  <c r="D130" i="1"/>
  <c r="D133" i="1"/>
  <c r="D134" i="1"/>
  <c r="D136" i="1"/>
  <c r="D137" i="1"/>
  <c r="D145" i="1"/>
  <c r="D155" i="1"/>
  <c r="D160" i="1"/>
  <c r="D229" i="1"/>
  <c r="D221" i="1"/>
  <c r="D213" i="1"/>
  <c r="D205" i="1"/>
  <c r="D197" i="1"/>
  <c r="D189" i="1"/>
  <c r="D165" i="1"/>
  <c r="D178" i="1"/>
  <c r="D174" i="1"/>
  <c r="D170" i="1"/>
  <c r="D103" i="1"/>
  <c r="D101" i="1"/>
  <c r="D99" i="1"/>
  <c r="D96" i="1"/>
  <c r="D92" i="1"/>
  <c r="D90" i="1"/>
  <c r="D88" i="1"/>
  <c r="D86" i="1"/>
  <c r="D84" i="1"/>
  <c r="D80" i="1"/>
  <c r="D72" i="1"/>
  <c r="D113" i="1"/>
  <c r="D56" i="1"/>
  <c r="D44" i="1"/>
  <c r="D38" i="1"/>
  <c r="D28" i="1"/>
  <c r="D22" i="1"/>
  <c r="D123" i="1"/>
  <c r="D159" i="1"/>
  <c r="D128" i="1"/>
  <c r="D62" i="1"/>
  <c r="D46" i="1"/>
  <c r="D153" i="1"/>
  <c r="D181" i="1"/>
  <c r="D177" i="1"/>
  <c r="D173" i="1"/>
  <c r="D169" i="1"/>
  <c r="D110" i="1"/>
  <c r="D108" i="1"/>
  <c r="D102" i="1"/>
  <c r="D70" i="1"/>
  <c r="D68" i="1"/>
  <c r="D112" i="1"/>
  <c r="D64" i="1"/>
  <c r="D61" i="1"/>
  <c r="D48" i="1"/>
  <c r="D36" i="1"/>
  <c r="D33" i="1"/>
  <c r="D30" i="1"/>
  <c r="D20" i="1"/>
  <c r="D19" i="1"/>
  <c r="D122" i="1"/>
  <c r="D146" i="1"/>
  <c r="D147" i="1"/>
  <c r="D150" i="1"/>
  <c r="D148" i="1"/>
  <c r="D152" i="1"/>
  <c r="D232" i="1"/>
  <c r="D228" i="1"/>
  <c r="D224" i="1"/>
  <c r="D220" i="1"/>
  <c r="D216" i="1"/>
  <c r="D212" i="1"/>
  <c r="D208" i="1"/>
  <c r="D204" i="1"/>
  <c r="D200" i="1"/>
  <c r="D196" i="1"/>
  <c r="D192" i="1"/>
  <c r="D188" i="1"/>
  <c r="D184" i="1"/>
  <c r="D180" i="1"/>
  <c r="D176" i="1"/>
  <c r="D172" i="1"/>
  <c r="D168" i="1"/>
  <c r="D164" i="1"/>
  <c r="D231" i="1"/>
  <c r="D227" i="1"/>
  <c r="D223" i="1"/>
  <c r="D219" i="1"/>
  <c r="D215" i="1"/>
  <c r="D211" i="1"/>
  <c r="D207" i="1"/>
  <c r="D203" i="1"/>
  <c r="D199" i="1"/>
  <c r="D195" i="1"/>
  <c r="D191" i="1"/>
  <c r="D187" i="1"/>
  <c r="D183" i="1"/>
  <c r="D179" i="1"/>
  <c r="D175" i="1"/>
  <c r="D171" i="1"/>
  <c r="D167" i="1"/>
  <c r="D163" i="1"/>
  <c r="D78" i="1"/>
  <c r="D76" i="1"/>
  <c r="D74" i="1"/>
  <c r="D83" i="1"/>
  <c r="D58" i="1"/>
  <c r="D50" i="1"/>
  <c r="D42" i="1"/>
  <c r="D34" i="1"/>
  <c r="D26" i="1"/>
  <c r="D121" i="1"/>
  <c r="D124" i="1"/>
  <c r="D106" i="1"/>
  <c r="D109" i="1"/>
  <c r="D107" i="1"/>
  <c r="D105" i="1"/>
  <c r="D98" i="1"/>
  <c r="D94" i="1"/>
  <c r="D73" i="1"/>
  <c r="D114" i="1"/>
  <c r="D118" i="1"/>
  <c r="D131" i="1"/>
  <c r="D135" i="1"/>
  <c r="D149" i="1"/>
  <c r="D158" i="1"/>
</calcChain>
</file>

<file path=xl/sharedStrings.xml><?xml version="1.0" encoding="utf-8"?>
<sst xmlns="http://schemas.openxmlformats.org/spreadsheetml/2006/main" count="18" uniqueCount="13">
  <si>
    <t>Omsättning per månad</t>
  </si>
  <si>
    <t>Månad</t>
  </si>
  <si>
    <t>Orders</t>
  </si>
  <si>
    <t>12_Month Roll_Sales</t>
  </si>
  <si>
    <t>12_Month Roll_Orders</t>
  </si>
  <si>
    <t>O/S-Ratio</t>
  </si>
  <si>
    <t>Turnover</t>
  </si>
  <si>
    <t>Bookings</t>
  </si>
  <si>
    <t>Year</t>
  </si>
  <si>
    <t>Expected 2011</t>
  </si>
  <si>
    <t>2011+Expected</t>
  </si>
  <si>
    <t>berg2</t>
  </si>
  <si>
    <t>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</si>
</sst>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#,##0\ &quot;kr&quot;;\-#,##0\ &quot;kr&quot;"/>
    <numFmt numFmtId="164" formatCode="_-* #,##0.00\ _k_r_-;\-* #,##0.00\ _k_r_-;_-* &quot;-&quot;??\ _k_r_-;_-@_-"/>
    <numFmt numFmtId="165" formatCode="#,##0\ &quot;kr&quot;"/>
    <numFmt numFmtId="166" formatCode="_-* #,##0\ _k_r_-;\-* #,##0\ _k_r_-;_-* &quot;-&quot;??\ _k_r_-;_-@_-"/>
  </numFmts>
  <fonts count="10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rgb="FF006100"/>
      <name val="Calibri"/>
      <family val="2"/>
      <scheme val="minor"/>
    </font>
    <font>
      <sz val="12"/>
      <color rgb="FF2F3947"/>
      <name val="FontAvenir"/>
    </font>
    <font>
      <sz val="12"/>
      <color rgb="FF2F3947"/>
      <name val="FontAveni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FE9EE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1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5" fontId="0" fillId="0" borderId="0" xfId="0" applyNumberFormat="1"/>
    <xf numFmtId="17" fontId="0" fillId="0" borderId="0" xfId="0" applyNumberFormat="1"/>
    <xf numFmtId="2" fontId="0" fillId="0" borderId="0" xfId="0" applyNumberFormat="1"/>
    <xf numFmtId="166" fontId="0" fillId="0" borderId="0" xfId="1" applyNumberFormat="1" applyFont="1"/>
    <xf numFmtId="165" fontId="0" fillId="0" borderId="0" xfId="0" applyNumberFormat="1"/>
    <xf numFmtId="3" fontId="0" fillId="0" borderId="0" xfId="1" applyNumberFormat="1" applyFont="1"/>
    <xf numFmtId="0" fontId="4" fillId="3" borderId="0" xfId="2" applyFill="1"/>
    <xf numFmtId="5" fontId="4" fillId="3" borderId="0" xfId="2" applyNumberFormat="1" applyFill="1"/>
    <xf numFmtId="0" fontId="5" fillId="4" borderId="0" xfId="2" applyFont="1" applyFill="1"/>
    <xf numFmtId="5" fontId="5" fillId="4" borderId="0" xfId="2" applyNumberFormat="1" applyFont="1" applyFill="1"/>
    <xf numFmtId="165" fontId="5" fillId="4" borderId="0" xfId="2" applyNumberFormat="1" applyFont="1" applyFill="1" applyBorder="1" applyAlignment="1"/>
    <xf numFmtId="5" fontId="6" fillId="4" borderId="0" xfId="2" applyNumberFormat="1" applyFont="1" applyFill="1"/>
    <xf numFmtId="5" fontId="7" fillId="3" borderId="0" xfId="2" applyNumberFormat="1" applyFont="1" applyFill="1"/>
    <xf numFmtId="0" fontId="0" fillId="5" borderId="0" xfId="0" applyFill="1"/>
    <xf numFmtId="17" fontId="8" fillId="5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right" vertical="center"/>
    </xf>
    <xf numFmtId="0" fontId="1" fillId="0" borderId="0" xfId="0" applyFont="1"/>
  </cellXfs>
  <cellStyles count="4">
    <cellStyle name="Comma" xfId="1" builtinId="3"/>
    <cellStyle name="Good" xfId="2" builtinId="26"/>
    <cellStyle name="Normal" xfId="0" builtinId="0"/>
    <cellStyle name="Standard 2" xfId="3" xr:uid="{3028D040-05A0-450D-AD55-BD55BA23F7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 months rolling Intec Sweden</a:t>
            </a:r>
          </a:p>
        </c:rich>
      </c:tx>
      <c:layout>
        <c:manualLayout>
          <c:xMode val="edge"/>
          <c:yMode val="edge"/>
          <c:x val="0.32482604668593051"/>
          <c:y val="2.0807195845423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6.1996502871077136E-2"/>
          <c:y val="6.0900865652662985E-2"/>
          <c:w val="0.89588689452761383"/>
          <c:h val="0.78590115260664661"/>
        </c:manualLayout>
      </c:layout>
      <c:lineChart>
        <c:grouping val="standard"/>
        <c:varyColors val="0"/>
        <c:ser>
          <c:idx val="0"/>
          <c:order val="0"/>
          <c:tx>
            <c:strRef>
              <c:f>Data!$B$6</c:f>
              <c:strCache>
                <c:ptCount val="1"/>
                <c:pt idx="0">
                  <c:v>12_Month Roll_Sales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Data!$A$7:$A$307</c:f>
              <c:numCache>
                <c:formatCode>mmm\-yy</c:formatCode>
                <c:ptCount val="301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</c:numRef>
          </c:cat>
          <c:val>
            <c:numRef>
              <c:f>Data!$B$7:$B$307</c:f>
              <c:numCache>
                <c:formatCode>"kr"#,##0_);\("kr"#,##0\)</c:formatCode>
                <c:ptCount val="301"/>
                <c:pt idx="11">
                  <c:v>20191921</c:v>
                </c:pt>
                <c:pt idx="12">
                  <c:v>20208334</c:v>
                </c:pt>
                <c:pt idx="13">
                  <c:v>20193144</c:v>
                </c:pt>
                <c:pt idx="14">
                  <c:v>19652948</c:v>
                </c:pt>
                <c:pt idx="15">
                  <c:v>20375859</c:v>
                </c:pt>
                <c:pt idx="16">
                  <c:v>20167143</c:v>
                </c:pt>
                <c:pt idx="17">
                  <c:v>21296952</c:v>
                </c:pt>
                <c:pt idx="18">
                  <c:v>22092087</c:v>
                </c:pt>
                <c:pt idx="19">
                  <c:v>21510344</c:v>
                </c:pt>
                <c:pt idx="20">
                  <c:v>21638335</c:v>
                </c:pt>
                <c:pt idx="21">
                  <c:v>21638636</c:v>
                </c:pt>
                <c:pt idx="22">
                  <c:v>21326903</c:v>
                </c:pt>
                <c:pt idx="23">
                  <c:v>21856448</c:v>
                </c:pt>
                <c:pt idx="24">
                  <c:v>22208626</c:v>
                </c:pt>
                <c:pt idx="25">
                  <c:v>23022531</c:v>
                </c:pt>
                <c:pt idx="26">
                  <c:v>23988602</c:v>
                </c:pt>
                <c:pt idx="27">
                  <c:v>23777990</c:v>
                </c:pt>
                <c:pt idx="28">
                  <c:v>24363461</c:v>
                </c:pt>
                <c:pt idx="29">
                  <c:v>23155002</c:v>
                </c:pt>
                <c:pt idx="30">
                  <c:v>23780614</c:v>
                </c:pt>
                <c:pt idx="31">
                  <c:v>24774557</c:v>
                </c:pt>
                <c:pt idx="32">
                  <c:v>25601894</c:v>
                </c:pt>
                <c:pt idx="33">
                  <c:v>25273956</c:v>
                </c:pt>
                <c:pt idx="34">
                  <c:v>25821898</c:v>
                </c:pt>
                <c:pt idx="35">
                  <c:v>25976510</c:v>
                </c:pt>
                <c:pt idx="36">
                  <c:v>25434976</c:v>
                </c:pt>
                <c:pt idx="37">
                  <c:v>25751715</c:v>
                </c:pt>
                <c:pt idx="38">
                  <c:v>25944364</c:v>
                </c:pt>
                <c:pt idx="39">
                  <c:v>26809962</c:v>
                </c:pt>
                <c:pt idx="40">
                  <c:v>27495468</c:v>
                </c:pt>
                <c:pt idx="41">
                  <c:v>29047667</c:v>
                </c:pt>
                <c:pt idx="42">
                  <c:v>27516950</c:v>
                </c:pt>
                <c:pt idx="43">
                  <c:v>27224901</c:v>
                </c:pt>
                <c:pt idx="44">
                  <c:v>28109208</c:v>
                </c:pt>
                <c:pt idx="45">
                  <c:v>29187399</c:v>
                </c:pt>
                <c:pt idx="46">
                  <c:v>30182401</c:v>
                </c:pt>
                <c:pt idx="47">
                  <c:v>31193814</c:v>
                </c:pt>
                <c:pt idx="48">
                  <c:v>31871429</c:v>
                </c:pt>
                <c:pt idx="49">
                  <c:v>32212228</c:v>
                </c:pt>
                <c:pt idx="50">
                  <c:v>33368150</c:v>
                </c:pt>
                <c:pt idx="51">
                  <c:v>34632470</c:v>
                </c:pt>
                <c:pt idx="52">
                  <c:v>34565585</c:v>
                </c:pt>
                <c:pt idx="53">
                  <c:v>34684897.109999999</c:v>
                </c:pt>
                <c:pt idx="54">
                  <c:v>35534092.969999999</c:v>
                </c:pt>
                <c:pt idx="55">
                  <c:v>36276754.049999997</c:v>
                </c:pt>
                <c:pt idx="56">
                  <c:v>36132165.159999996</c:v>
                </c:pt>
                <c:pt idx="57">
                  <c:v>35850653.549999997</c:v>
                </c:pt>
                <c:pt idx="58">
                  <c:v>35280326.299999997</c:v>
                </c:pt>
                <c:pt idx="59">
                  <c:v>35737578.049999997</c:v>
                </c:pt>
                <c:pt idx="60">
                  <c:v>36419687.089999996</c:v>
                </c:pt>
                <c:pt idx="61">
                  <c:v>37402303.779999994</c:v>
                </c:pt>
                <c:pt idx="62">
                  <c:v>37153757.230000004</c:v>
                </c:pt>
                <c:pt idx="63">
                  <c:v>36541966.609999999</c:v>
                </c:pt>
                <c:pt idx="64">
                  <c:v>37523781.789999999</c:v>
                </c:pt>
                <c:pt idx="65">
                  <c:v>36526841.68</c:v>
                </c:pt>
                <c:pt idx="66">
                  <c:v>36747823.289999999</c:v>
                </c:pt>
                <c:pt idx="67">
                  <c:v>36452222.859999999</c:v>
                </c:pt>
                <c:pt idx="68">
                  <c:v>36421138.269999996</c:v>
                </c:pt>
                <c:pt idx="69">
                  <c:v>37532324.879999995</c:v>
                </c:pt>
                <c:pt idx="70">
                  <c:v>38853371.479999997</c:v>
                </c:pt>
                <c:pt idx="71">
                  <c:v>40722239.699999996</c:v>
                </c:pt>
                <c:pt idx="72">
                  <c:v>41108152.659999996</c:v>
                </c:pt>
                <c:pt idx="73">
                  <c:v>40203900.969999999</c:v>
                </c:pt>
                <c:pt idx="74">
                  <c:v>41003430.620000005</c:v>
                </c:pt>
                <c:pt idx="75">
                  <c:v>40581025.240000002</c:v>
                </c:pt>
                <c:pt idx="76">
                  <c:v>41399075.059999995</c:v>
                </c:pt>
                <c:pt idx="77">
                  <c:v>42251716.060000002</c:v>
                </c:pt>
                <c:pt idx="78">
                  <c:v>41964965.589999996</c:v>
                </c:pt>
                <c:pt idx="79">
                  <c:v>42959652.710000001</c:v>
                </c:pt>
                <c:pt idx="80">
                  <c:v>44202940.720000006</c:v>
                </c:pt>
                <c:pt idx="81">
                  <c:v>45610986.720000006</c:v>
                </c:pt>
                <c:pt idx="82">
                  <c:v>46041948.839999996</c:v>
                </c:pt>
                <c:pt idx="83">
                  <c:v>44939359.220000006</c:v>
                </c:pt>
                <c:pt idx="84">
                  <c:v>45764856.220000006</c:v>
                </c:pt>
                <c:pt idx="85">
                  <c:v>49152083.220000006</c:v>
                </c:pt>
                <c:pt idx="86">
                  <c:v>48407579.119999997</c:v>
                </c:pt>
                <c:pt idx="87">
                  <c:v>50916207.119999997</c:v>
                </c:pt>
                <c:pt idx="88">
                  <c:v>51699398.119999997</c:v>
                </c:pt>
                <c:pt idx="89">
                  <c:v>52085693.119999997</c:v>
                </c:pt>
                <c:pt idx="90">
                  <c:v>53022101.119999997</c:v>
                </c:pt>
                <c:pt idx="91">
                  <c:v>54345540.350000001</c:v>
                </c:pt>
                <c:pt idx="92">
                  <c:v>54179764.82</c:v>
                </c:pt>
                <c:pt idx="93">
                  <c:v>54160762.82</c:v>
                </c:pt>
                <c:pt idx="94">
                  <c:v>53182484.350000001</c:v>
                </c:pt>
                <c:pt idx="95">
                  <c:v>51182722</c:v>
                </c:pt>
                <c:pt idx="96">
                  <c:v>50158572</c:v>
                </c:pt>
                <c:pt idx="97">
                  <c:v>46053117</c:v>
                </c:pt>
                <c:pt idx="98">
                  <c:v>45360564</c:v>
                </c:pt>
                <c:pt idx="99">
                  <c:v>42280220</c:v>
                </c:pt>
                <c:pt idx="100">
                  <c:v>39405369</c:v>
                </c:pt>
                <c:pt idx="101">
                  <c:v>38586715</c:v>
                </c:pt>
                <c:pt idx="102">
                  <c:v>37235292</c:v>
                </c:pt>
                <c:pt idx="103">
                  <c:v>33724702</c:v>
                </c:pt>
                <c:pt idx="104">
                  <c:v>32249667</c:v>
                </c:pt>
                <c:pt idx="105">
                  <c:v>28898971</c:v>
                </c:pt>
                <c:pt idx="106">
                  <c:v>27643195</c:v>
                </c:pt>
                <c:pt idx="107">
                  <c:v>27791178</c:v>
                </c:pt>
                <c:pt idx="108">
                  <c:v>26554052</c:v>
                </c:pt>
                <c:pt idx="109">
                  <c:v>26540834</c:v>
                </c:pt>
                <c:pt idx="110">
                  <c:v>26769780</c:v>
                </c:pt>
                <c:pt idx="111">
                  <c:v>27471293</c:v>
                </c:pt>
                <c:pt idx="112">
                  <c:v>28750467</c:v>
                </c:pt>
                <c:pt idx="113">
                  <c:v>28467546</c:v>
                </c:pt>
                <c:pt idx="114">
                  <c:v>29261877</c:v>
                </c:pt>
                <c:pt idx="115">
                  <c:v>31963015</c:v>
                </c:pt>
                <c:pt idx="116">
                  <c:v>33028279</c:v>
                </c:pt>
                <c:pt idx="117">
                  <c:v>35122238</c:v>
                </c:pt>
                <c:pt idx="118">
                  <c:v>35667639</c:v>
                </c:pt>
                <c:pt idx="119">
                  <c:v>35902211</c:v>
                </c:pt>
                <c:pt idx="120">
                  <c:v>36503081</c:v>
                </c:pt>
                <c:pt idx="121">
                  <c:v>38976350</c:v>
                </c:pt>
                <c:pt idx="122">
                  <c:v>40115597</c:v>
                </c:pt>
                <c:pt idx="123">
                  <c:v>40990678</c:v>
                </c:pt>
                <c:pt idx="124">
                  <c:v>41369381</c:v>
                </c:pt>
                <c:pt idx="125">
                  <c:v>43168875</c:v>
                </c:pt>
                <c:pt idx="126">
                  <c:v>44317716</c:v>
                </c:pt>
                <c:pt idx="127">
                  <c:v>43773742</c:v>
                </c:pt>
                <c:pt idx="128">
                  <c:v>44157675</c:v>
                </c:pt>
                <c:pt idx="129">
                  <c:v>45697348</c:v>
                </c:pt>
                <c:pt idx="130">
                  <c:v>47986745</c:v>
                </c:pt>
                <c:pt idx="131">
                  <c:v>49088803</c:v>
                </c:pt>
                <c:pt idx="132">
                  <c:v>50786721</c:v>
                </c:pt>
                <c:pt idx="133">
                  <c:v>51284024</c:v>
                </c:pt>
                <c:pt idx="134">
                  <c:v>50454362</c:v>
                </c:pt>
                <c:pt idx="135">
                  <c:v>50090381</c:v>
                </c:pt>
                <c:pt idx="136">
                  <c:v>51095993</c:v>
                </c:pt>
                <c:pt idx="137">
                  <c:v>49831924</c:v>
                </c:pt>
                <c:pt idx="138">
                  <c:v>49270698</c:v>
                </c:pt>
                <c:pt idx="139">
                  <c:v>49153931</c:v>
                </c:pt>
                <c:pt idx="140">
                  <c:v>49579675</c:v>
                </c:pt>
                <c:pt idx="141">
                  <c:v>48437453</c:v>
                </c:pt>
                <c:pt idx="142">
                  <c:v>47575336</c:v>
                </c:pt>
                <c:pt idx="143">
                  <c:v>46303235</c:v>
                </c:pt>
                <c:pt idx="144">
                  <c:v>45317988</c:v>
                </c:pt>
                <c:pt idx="145">
                  <c:v>44595203.4428</c:v>
                </c:pt>
                <c:pt idx="146">
                  <c:v>46051462.144699998</c:v>
                </c:pt>
                <c:pt idx="147">
                  <c:v>46423943.144699998</c:v>
                </c:pt>
                <c:pt idx="148">
                  <c:v>44492798.144699998</c:v>
                </c:pt>
                <c:pt idx="149">
                  <c:v>44921198.144699998</c:v>
                </c:pt>
                <c:pt idx="150">
                  <c:v>44759114.144699998</c:v>
                </c:pt>
                <c:pt idx="151">
                  <c:v>44549756.144699998</c:v>
                </c:pt>
                <c:pt idx="152">
                  <c:v>43845321.144699998</c:v>
                </c:pt>
                <c:pt idx="153">
                  <c:v>45192188.144699998</c:v>
                </c:pt>
                <c:pt idx="154">
                  <c:v>44913118.144699998</c:v>
                </c:pt>
                <c:pt idx="155">
                  <c:v>45109641.144699998</c:v>
                </c:pt>
                <c:pt idx="156">
                  <c:v>46572462.144699998</c:v>
                </c:pt>
                <c:pt idx="157">
                  <c:v>47004378.701899998</c:v>
                </c:pt>
                <c:pt idx="158">
                  <c:v>47028680</c:v>
                </c:pt>
                <c:pt idx="159">
                  <c:v>47961773</c:v>
                </c:pt>
                <c:pt idx="160">
                  <c:v>49355083</c:v>
                </c:pt>
                <c:pt idx="161">
                  <c:v>48973441</c:v>
                </c:pt>
                <c:pt idx="162">
                  <c:v>49755629</c:v>
                </c:pt>
                <c:pt idx="163">
                  <c:v>49970695</c:v>
                </c:pt>
                <c:pt idx="164">
                  <c:v>50138841</c:v>
                </c:pt>
                <c:pt idx="165">
                  <c:v>48947000</c:v>
                </c:pt>
                <c:pt idx="166">
                  <c:v>48587000</c:v>
                </c:pt>
                <c:pt idx="167">
                  <c:v>48806000</c:v>
                </c:pt>
                <c:pt idx="168">
                  <c:v>47838000</c:v>
                </c:pt>
                <c:pt idx="169">
                  <c:v>47393000</c:v>
                </c:pt>
                <c:pt idx="170">
                  <c:v>46399000</c:v>
                </c:pt>
                <c:pt idx="171">
                  <c:v>46162000</c:v>
                </c:pt>
                <c:pt idx="172">
                  <c:v>47692000</c:v>
                </c:pt>
                <c:pt idx="173">
                  <c:v>48371000</c:v>
                </c:pt>
                <c:pt idx="174">
                  <c:v>47639000</c:v>
                </c:pt>
                <c:pt idx="175">
                  <c:v>47637000</c:v>
                </c:pt>
                <c:pt idx="176">
                  <c:v>48988000</c:v>
                </c:pt>
                <c:pt idx="177">
                  <c:v>49685000</c:v>
                </c:pt>
                <c:pt idx="178">
                  <c:v>50515000</c:v>
                </c:pt>
                <c:pt idx="179">
                  <c:v>51108000</c:v>
                </c:pt>
                <c:pt idx="180">
                  <c:v>50797000</c:v>
                </c:pt>
                <c:pt idx="181">
                  <c:v>50560000</c:v>
                </c:pt>
                <c:pt idx="182">
                  <c:v>51601000</c:v>
                </c:pt>
                <c:pt idx="183">
                  <c:v>50783000</c:v>
                </c:pt>
                <c:pt idx="184">
                  <c:v>48863000</c:v>
                </c:pt>
                <c:pt idx="185">
                  <c:v>50983000</c:v>
                </c:pt>
                <c:pt idx="186">
                  <c:v>51233000</c:v>
                </c:pt>
                <c:pt idx="187">
                  <c:v>51005000</c:v>
                </c:pt>
                <c:pt idx="188">
                  <c:v>50591000</c:v>
                </c:pt>
                <c:pt idx="189">
                  <c:v>49699000</c:v>
                </c:pt>
                <c:pt idx="190">
                  <c:v>49996000</c:v>
                </c:pt>
                <c:pt idx="191">
                  <c:v>50708000</c:v>
                </c:pt>
                <c:pt idx="192">
                  <c:v>51775000</c:v>
                </c:pt>
                <c:pt idx="193">
                  <c:v>52391000</c:v>
                </c:pt>
                <c:pt idx="194">
                  <c:v>51966000</c:v>
                </c:pt>
                <c:pt idx="195">
                  <c:v>51638000</c:v>
                </c:pt>
                <c:pt idx="196">
                  <c:v>53406000</c:v>
                </c:pt>
                <c:pt idx="197">
                  <c:v>51817000</c:v>
                </c:pt>
                <c:pt idx="198">
                  <c:v>51862000</c:v>
                </c:pt>
                <c:pt idx="199">
                  <c:v>53702000</c:v>
                </c:pt>
                <c:pt idx="200">
                  <c:v>55599000</c:v>
                </c:pt>
                <c:pt idx="201">
                  <c:v>56172000</c:v>
                </c:pt>
                <c:pt idx="202">
                  <c:v>56147000</c:v>
                </c:pt>
                <c:pt idx="203">
                  <c:v>58268000</c:v>
                </c:pt>
                <c:pt idx="204">
                  <c:v>60469000</c:v>
                </c:pt>
                <c:pt idx="205">
                  <c:v>61645000</c:v>
                </c:pt>
                <c:pt idx="206">
                  <c:v>62701000</c:v>
                </c:pt>
                <c:pt idx="207">
                  <c:v>67202000</c:v>
                </c:pt>
                <c:pt idx="208">
                  <c:v>67855000</c:v>
                </c:pt>
                <c:pt idx="209">
                  <c:v>69669000</c:v>
                </c:pt>
                <c:pt idx="210">
                  <c:v>74916000</c:v>
                </c:pt>
                <c:pt idx="211">
                  <c:v>75144000</c:v>
                </c:pt>
                <c:pt idx="212">
                  <c:v>74480000</c:v>
                </c:pt>
                <c:pt idx="213">
                  <c:v>76299000</c:v>
                </c:pt>
                <c:pt idx="214">
                  <c:v>76472000</c:v>
                </c:pt>
                <c:pt idx="215">
                  <c:v>74388000</c:v>
                </c:pt>
                <c:pt idx="216">
                  <c:v>74030360</c:v>
                </c:pt>
                <c:pt idx="217">
                  <c:v>73528661</c:v>
                </c:pt>
                <c:pt idx="218">
                  <c:v>74408661</c:v>
                </c:pt>
                <c:pt idx="219">
                  <c:v>73308661</c:v>
                </c:pt>
                <c:pt idx="220">
                  <c:v>73856956</c:v>
                </c:pt>
                <c:pt idx="221">
                  <c:v>72963889</c:v>
                </c:pt>
                <c:pt idx="222">
                  <c:v>68999191</c:v>
                </c:pt>
                <c:pt idx="223">
                  <c:v>69029451</c:v>
                </c:pt>
                <c:pt idx="224">
                  <c:v>71340226</c:v>
                </c:pt>
                <c:pt idx="225">
                  <c:v>70121496</c:v>
                </c:pt>
                <c:pt idx="226">
                  <c:v>71597382</c:v>
                </c:pt>
                <c:pt idx="227">
                  <c:v>71404311</c:v>
                </c:pt>
                <c:pt idx="228">
                  <c:v>72449056</c:v>
                </c:pt>
                <c:pt idx="229">
                  <c:v>71878016</c:v>
                </c:pt>
                <c:pt idx="230">
                  <c:v>75129631</c:v>
                </c:pt>
                <c:pt idx="231">
                  <c:v>73607253</c:v>
                </c:pt>
                <c:pt idx="232">
                  <c:v>71047088</c:v>
                </c:pt>
                <c:pt idx="233">
                  <c:v>69376155</c:v>
                </c:pt>
                <c:pt idx="234">
                  <c:v>67819853</c:v>
                </c:pt>
                <c:pt idx="235">
                  <c:v>65791593</c:v>
                </c:pt>
                <c:pt idx="236">
                  <c:v>65191818</c:v>
                </c:pt>
                <c:pt idx="237">
                  <c:v>65868548</c:v>
                </c:pt>
                <c:pt idx="238">
                  <c:v>65619662</c:v>
                </c:pt>
                <c:pt idx="239">
                  <c:v>70258069</c:v>
                </c:pt>
                <c:pt idx="240">
                  <c:v>67730033</c:v>
                </c:pt>
                <c:pt idx="241">
                  <c:v>67250068</c:v>
                </c:pt>
                <c:pt idx="242">
                  <c:v>65246523</c:v>
                </c:pt>
                <c:pt idx="243">
                  <c:v>66622353</c:v>
                </c:pt>
                <c:pt idx="244">
                  <c:v>68989264</c:v>
                </c:pt>
                <c:pt idx="245">
                  <c:v>71511746</c:v>
                </c:pt>
                <c:pt idx="246">
                  <c:v>73194010</c:v>
                </c:pt>
                <c:pt idx="247">
                  <c:v>75893746</c:v>
                </c:pt>
                <c:pt idx="248">
                  <c:v>76754638</c:v>
                </c:pt>
                <c:pt idx="249">
                  <c:v>78545084</c:v>
                </c:pt>
                <c:pt idx="250">
                  <c:v>79540405</c:v>
                </c:pt>
                <c:pt idx="251">
                  <c:v>76749826</c:v>
                </c:pt>
                <c:pt idx="252">
                  <c:v>78349568</c:v>
                </c:pt>
                <c:pt idx="253">
                  <c:v>80345099</c:v>
                </c:pt>
                <c:pt idx="254">
                  <c:v>81603545</c:v>
                </c:pt>
                <c:pt idx="255">
                  <c:v>79886463</c:v>
                </c:pt>
                <c:pt idx="256">
                  <c:v>79628235</c:v>
                </c:pt>
                <c:pt idx="257">
                  <c:v>79046599</c:v>
                </c:pt>
                <c:pt idx="258">
                  <c:v>81827648</c:v>
                </c:pt>
                <c:pt idx="259">
                  <c:v>82862676</c:v>
                </c:pt>
                <c:pt idx="260">
                  <c:v>80932128</c:v>
                </c:pt>
                <c:pt idx="261">
                  <c:v>82832175</c:v>
                </c:pt>
                <c:pt idx="262">
                  <c:v>84495664</c:v>
                </c:pt>
                <c:pt idx="263">
                  <c:v>85352650</c:v>
                </c:pt>
                <c:pt idx="264">
                  <c:v>86167248</c:v>
                </c:pt>
                <c:pt idx="265">
                  <c:v>86633987</c:v>
                </c:pt>
                <c:pt idx="266">
                  <c:v>86959855</c:v>
                </c:pt>
                <c:pt idx="267">
                  <c:v>88742192</c:v>
                </c:pt>
                <c:pt idx="268">
                  <c:v>90286303</c:v>
                </c:pt>
                <c:pt idx="269">
                  <c:v>96774586</c:v>
                </c:pt>
                <c:pt idx="270">
                  <c:v>93817646</c:v>
                </c:pt>
                <c:pt idx="271">
                  <c:v>93694960</c:v>
                </c:pt>
                <c:pt idx="272">
                  <c:v>95733839</c:v>
                </c:pt>
                <c:pt idx="273">
                  <c:v>96264276</c:v>
                </c:pt>
                <c:pt idx="274">
                  <c:v>104109616</c:v>
                </c:pt>
                <c:pt idx="275">
                  <c:v>104473521</c:v>
                </c:pt>
                <c:pt idx="276">
                  <c:v>106462354</c:v>
                </c:pt>
                <c:pt idx="277">
                  <c:v>109758275</c:v>
                </c:pt>
                <c:pt idx="278">
                  <c:v>109472658</c:v>
                </c:pt>
                <c:pt idx="279">
                  <c:v>110178263</c:v>
                </c:pt>
                <c:pt idx="280">
                  <c:v>109511123</c:v>
                </c:pt>
                <c:pt idx="281">
                  <c:v>105414943</c:v>
                </c:pt>
                <c:pt idx="282">
                  <c:v>107650601</c:v>
                </c:pt>
                <c:pt idx="283">
                  <c:v>110461796</c:v>
                </c:pt>
                <c:pt idx="284">
                  <c:v>110050502</c:v>
                </c:pt>
                <c:pt idx="285">
                  <c:v>108767310</c:v>
                </c:pt>
                <c:pt idx="286">
                  <c:v>103796133</c:v>
                </c:pt>
                <c:pt idx="287">
                  <c:v>106943155</c:v>
                </c:pt>
                <c:pt idx="288">
                  <c:v>105609401</c:v>
                </c:pt>
                <c:pt idx="289">
                  <c:v>104649972</c:v>
                </c:pt>
                <c:pt idx="290">
                  <c:v>104283897</c:v>
                </c:pt>
                <c:pt idx="291">
                  <c:v>107647308</c:v>
                </c:pt>
                <c:pt idx="292">
                  <c:v>107602847</c:v>
                </c:pt>
                <c:pt idx="293">
                  <c:v>107474596</c:v>
                </c:pt>
                <c:pt idx="294">
                  <c:v>107000697</c:v>
                </c:pt>
                <c:pt idx="295">
                  <c:v>106233086</c:v>
                </c:pt>
                <c:pt idx="296">
                  <c:v>107062103</c:v>
                </c:pt>
                <c:pt idx="297">
                  <c:v>107538595</c:v>
                </c:pt>
                <c:pt idx="298">
                  <c:v>105191977</c:v>
                </c:pt>
                <c:pt idx="299">
                  <c:v>106189676</c:v>
                </c:pt>
                <c:pt idx="300">
                  <c:v>107940445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CF-47CB-8102-01445D84E17F}"/>
            </c:ext>
          </c:extLst>
        </c:ser>
        <c:ser>
          <c:idx val="1"/>
          <c:order val="1"/>
          <c:tx>
            <c:strRef>
              <c:f>Data!$C$6</c:f>
              <c:strCache>
                <c:ptCount val="1"/>
                <c:pt idx="0">
                  <c:v>12_Month Roll_Orders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Data!$A$7:$A$307</c:f>
              <c:numCache>
                <c:formatCode>mmm\-yy</c:formatCode>
                <c:ptCount val="301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</c:numRef>
          </c:cat>
          <c:val>
            <c:numRef>
              <c:f>Data!$C$7:$C$307</c:f>
              <c:numCache>
                <c:formatCode>"kr"#,##0_);\("kr"#,##0\)</c:formatCode>
                <c:ptCount val="301"/>
                <c:pt idx="11">
                  <c:v>20868848</c:v>
                </c:pt>
                <c:pt idx="12">
                  <c:v>20992579</c:v>
                </c:pt>
                <c:pt idx="13">
                  <c:v>21005936</c:v>
                </c:pt>
                <c:pt idx="14">
                  <c:v>21001916</c:v>
                </c:pt>
                <c:pt idx="15">
                  <c:v>21634587</c:v>
                </c:pt>
                <c:pt idx="16">
                  <c:v>22231686</c:v>
                </c:pt>
                <c:pt idx="17">
                  <c:v>21995256</c:v>
                </c:pt>
                <c:pt idx="18">
                  <c:v>21964094</c:v>
                </c:pt>
                <c:pt idx="19">
                  <c:v>21458169</c:v>
                </c:pt>
                <c:pt idx="20">
                  <c:v>21912287</c:v>
                </c:pt>
                <c:pt idx="21">
                  <c:v>20975118</c:v>
                </c:pt>
                <c:pt idx="22">
                  <c:v>21782343</c:v>
                </c:pt>
                <c:pt idx="23">
                  <c:v>22661093</c:v>
                </c:pt>
                <c:pt idx="24">
                  <c:v>22922980</c:v>
                </c:pt>
                <c:pt idx="25">
                  <c:v>22739525</c:v>
                </c:pt>
                <c:pt idx="26">
                  <c:v>23661431</c:v>
                </c:pt>
                <c:pt idx="27">
                  <c:v>23833482</c:v>
                </c:pt>
                <c:pt idx="28">
                  <c:v>23665121</c:v>
                </c:pt>
                <c:pt idx="29">
                  <c:v>24526764</c:v>
                </c:pt>
                <c:pt idx="30">
                  <c:v>24413497</c:v>
                </c:pt>
                <c:pt idx="31">
                  <c:v>24933718</c:v>
                </c:pt>
                <c:pt idx="32">
                  <c:v>24927188</c:v>
                </c:pt>
                <c:pt idx="33">
                  <c:v>25045220</c:v>
                </c:pt>
                <c:pt idx="34">
                  <c:v>25361148</c:v>
                </c:pt>
                <c:pt idx="35">
                  <c:v>24608560</c:v>
                </c:pt>
                <c:pt idx="36">
                  <c:v>25323891</c:v>
                </c:pt>
                <c:pt idx="37">
                  <c:v>26255184</c:v>
                </c:pt>
                <c:pt idx="38">
                  <c:v>26347887</c:v>
                </c:pt>
                <c:pt idx="39">
                  <c:v>27610605</c:v>
                </c:pt>
                <c:pt idx="40">
                  <c:v>27729017</c:v>
                </c:pt>
                <c:pt idx="41">
                  <c:v>27240484</c:v>
                </c:pt>
                <c:pt idx="42">
                  <c:v>27056056</c:v>
                </c:pt>
                <c:pt idx="43">
                  <c:v>28165890</c:v>
                </c:pt>
                <c:pt idx="44">
                  <c:v>28803508</c:v>
                </c:pt>
                <c:pt idx="45">
                  <c:v>30297833</c:v>
                </c:pt>
                <c:pt idx="46">
                  <c:v>31962023</c:v>
                </c:pt>
                <c:pt idx="47">
                  <c:v>32797566</c:v>
                </c:pt>
                <c:pt idx="48">
                  <c:v>32082975</c:v>
                </c:pt>
                <c:pt idx="49">
                  <c:v>32717720</c:v>
                </c:pt>
                <c:pt idx="50">
                  <c:v>33183325</c:v>
                </c:pt>
                <c:pt idx="51">
                  <c:v>33486986</c:v>
                </c:pt>
                <c:pt idx="52">
                  <c:v>34439993</c:v>
                </c:pt>
                <c:pt idx="53">
                  <c:v>35445566.600000001</c:v>
                </c:pt>
                <c:pt idx="54">
                  <c:v>36317866.030000001</c:v>
                </c:pt>
                <c:pt idx="55">
                  <c:v>35757234.439999998</c:v>
                </c:pt>
                <c:pt idx="56">
                  <c:v>37399958.130000003</c:v>
                </c:pt>
                <c:pt idx="57">
                  <c:v>35923676.200000003</c:v>
                </c:pt>
                <c:pt idx="58">
                  <c:v>35272087.350000001</c:v>
                </c:pt>
                <c:pt idx="59">
                  <c:v>35767169.859999999</c:v>
                </c:pt>
                <c:pt idx="60">
                  <c:v>36662442.280000001</c:v>
                </c:pt>
                <c:pt idx="61">
                  <c:v>36679273.5</c:v>
                </c:pt>
                <c:pt idx="62">
                  <c:v>37076795.170000002</c:v>
                </c:pt>
                <c:pt idx="63">
                  <c:v>36640779.090000004</c:v>
                </c:pt>
                <c:pt idx="64">
                  <c:v>36105076.310000002</c:v>
                </c:pt>
                <c:pt idx="65">
                  <c:v>36564468.870000005</c:v>
                </c:pt>
                <c:pt idx="66">
                  <c:v>37199615.559999995</c:v>
                </c:pt>
                <c:pt idx="67">
                  <c:v>37459460.789999999</c:v>
                </c:pt>
                <c:pt idx="68">
                  <c:v>36724533.810000002</c:v>
                </c:pt>
                <c:pt idx="69">
                  <c:v>39358866.740000002</c:v>
                </c:pt>
                <c:pt idx="70">
                  <c:v>38920807.180000007</c:v>
                </c:pt>
                <c:pt idx="71">
                  <c:v>39242119.060000002</c:v>
                </c:pt>
                <c:pt idx="72">
                  <c:v>39117986.640000001</c:v>
                </c:pt>
                <c:pt idx="73">
                  <c:v>39488170.420000002</c:v>
                </c:pt>
                <c:pt idx="74">
                  <c:v>40309225.340000004</c:v>
                </c:pt>
                <c:pt idx="75">
                  <c:v>40116476.420000002</c:v>
                </c:pt>
                <c:pt idx="76">
                  <c:v>42032481.200000003</c:v>
                </c:pt>
                <c:pt idx="77">
                  <c:v>44437013.839999996</c:v>
                </c:pt>
                <c:pt idx="78">
                  <c:v>44838090.719999999</c:v>
                </c:pt>
                <c:pt idx="79">
                  <c:v>45904869.019999996</c:v>
                </c:pt>
                <c:pt idx="80">
                  <c:v>45959908.569999993</c:v>
                </c:pt>
                <c:pt idx="81">
                  <c:v>46192329.57</c:v>
                </c:pt>
                <c:pt idx="82">
                  <c:v>47613270.809999995</c:v>
                </c:pt>
                <c:pt idx="83">
                  <c:v>46818500.260000005</c:v>
                </c:pt>
                <c:pt idx="84">
                  <c:v>48392374.260000005</c:v>
                </c:pt>
                <c:pt idx="85">
                  <c:v>49762660.260000005</c:v>
                </c:pt>
                <c:pt idx="86">
                  <c:v>49561031.670000002</c:v>
                </c:pt>
                <c:pt idx="87">
                  <c:v>52912046.670000002</c:v>
                </c:pt>
                <c:pt idx="88">
                  <c:v>52216726.670000002</c:v>
                </c:pt>
                <c:pt idx="89">
                  <c:v>50488021.870000005</c:v>
                </c:pt>
                <c:pt idx="90">
                  <c:v>50790608.870000005</c:v>
                </c:pt>
                <c:pt idx="91">
                  <c:v>50820353.93</c:v>
                </c:pt>
                <c:pt idx="92">
                  <c:v>50738677.670000002</c:v>
                </c:pt>
                <c:pt idx="93">
                  <c:v>51919080.670000002</c:v>
                </c:pt>
                <c:pt idx="94">
                  <c:v>49211600.840000004</c:v>
                </c:pt>
                <c:pt idx="95">
                  <c:v>49006229</c:v>
                </c:pt>
                <c:pt idx="96">
                  <c:v>46831712</c:v>
                </c:pt>
                <c:pt idx="97">
                  <c:v>44753889</c:v>
                </c:pt>
                <c:pt idx="98">
                  <c:v>42206021</c:v>
                </c:pt>
                <c:pt idx="99">
                  <c:v>37930837</c:v>
                </c:pt>
                <c:pt idx="100">
                  <c:v>36067661</c:v>
                </c:pt>
                <c:pt idx="101">
                  <c:v>33936509</c:v>
                </c:pt>
                <c:pt idx="102">
                  <c:v>31988840</c:v>
                </c:pt>
                <c:pt idx="103">
                  <c:v>29881293</c:v>
                </c:pt>
                <c:pt idx="104">
                  <c:v>28387107</c:v>
                </c:pt>
                <c:pt idx="105">
                  <c:v>24485571</c:v>
                </c:pt>
                <c:pt idx="106">
                  <c:v>25269648</c:v>
                </c:pt>
                <c:pt idx="107">
                  <c:v>26099522</c:v>
                </c:pt>
                <c:pt idx="108">
                  <c:v>25317305</c:v>
                </c:pt>
                <c:pt idx="109">
                  <c:v>25778018</c:v>
                </c:pt>
                <c:pt idx="110">
                  <c:v>27381713</c:v>
                </c:pt>
                <c:pt idx="111">
                  <c:v>29399418</c:v>
                </c:pt>
                <c:pt idx="112">
                  <c:v>30633498</c:v>
                </c:pt>
                <c:pt idx="113">
                  <c:v>31008721</c:v>
                </c:pt>
                <c:pt idx="114">
                  <c:v>31828613</c:v>
                </c:pt>
                <c:pt idx="115">
                  <c:v>32125668</c:v>
                </c:pt>
                <c:pt idx="116">
                  <c:v>34326008</c:v>
                </c:pt>
                <c:pt idx="117">
                  <c:v>36879732</c:v>
                </c:pt>
                <c:pt idx="118">
                  <c:v>37443909</c:v>
                </c:pt>
                <c:pt idx="119">
                  <c:v>37589242</c:v>
                </c:pt>
                <c:pt idx="120">
                  <c:v>39199187</c:v>
                </c:pt>
                <c:pt idx="121">
                  <c:v>40428602</c:v>
                </c:pt>
                <c:pt idx="122">
                  <c:v>43162044</c:v>
                </c:pt>
                <c:pt idx="123">
                  <c:v>42797670</c:v>
                </c:pt>
                <c:pt idx="124">
                  <c:v>43643850</c:v>
                </c:pt>
                <c:pt idx="125">
                  <c:v>46281155</c:v>
                </c:pt>
                <c:pt idx="126">
                  <c:v>47072216</c:v>
                </c:pt>
                <c:pt idx="127">
                  <c:v>48583562</c:v>
                </c:pt>
                <c:pt idx="128">
                  <c:v>48791469</c:v>
                </c:pt>
                <c:pt idx="129">
                  <c:v>49229402</c:v>
                </c:pt>
                <c:pt idx="130">
                  <c:v>50792523</c:v>
                </c:pt>
                <c:pt idx="131">
                  <c:v>51401251</c:v>
                </c:pt>
                <c:pt idx="132">
                  <c:v>51975284</c:v>
                </c:pt>
                <c:pt idx="133">
                  <c:v>50837937</c:v>
                </c:pt>
                <c:pt idx="134">
                  <c:v>48399221</c:v>
                </c:pt>
                <c:pt idx="135">
                  <c:v>47962079</c:v>
                </c:pt>
                <c:pt idx="136">
                  <c:v>48329336</c:v>
                </c:pt>
                <c:pt idx="137">
                  <c:v>46877860</c:v>
                </c:pt>
                <c:pt idx="138">
                  <c:v>47041533</c:v>
                </c:pt>
                <c:pt idx="139">
                  <c:v>46150931</c:v>
                </c:pt>
                <c:pt idx="140">
                  <c:v>44951641</c:v>
                </c:pt>
                <c:pt idx="141">
                  <c:v>44280887</c:v>
                </c:pt>
                <c:pt idx="142">
                  <c:v>42816485</c:v>
                </c:pt>
                <c:pt idx="143">
                  <c:v>41553931</c:v>
                </c:pt>
                <c:pt idx="144">
                  <c:v>41790900</c:v>
                </c:pt>
                <c:pt idx="145">
                  <c:v>42021775</c:v>
                </c:pt>
                <c:pt idx="146">
                  <c:v>42514359</c:v>
                </c:pt>
                <c:pt idx="147">
                  <c:v>43273341</c:v>
                </c:pt>
                <c:pt idx="148">
                  <c:v>41644702</c:v>
                </c:pt>
                <c:pt idx="149">
                  <c:v>42390022</c:v>
                </c:pt>
                <c:pt idx="150">
                  <c:v>41950815</c:v>
                </c:pt>
                <c:pt idx="151">
                  <c:v>43623486</c:v>
                </c:pt>
                <c:pt idx="152">
                  <c:v>46104882</c:v>
                </c:pt>
                <c:pt idx="153">
                  <c:v>45241049</c:v>
                </c:pt>
                <c:pt idx="154">
                  <c:v>46998636</c:v>
                </c:pt>
                <c:pt idx="155">
                  <c:v>47019616</c:v>
                </c:pt>
                <c:pt idx="156">
                  <c:v>46986328</c:v>
                </c:pt>
                <c:pt idx="157">
                  <c:v>47710796</c:v>
                </c:pt>
                <c:pt idx="158">
                  <c:v>49473928</c:v>
                </c:pt>
                <c:pt idx="159">
                  <c:v>49804277</c:v>
                </c:pt>
                <c:pt idx="160">
                  <c:v>50075069</c:v>
                </c:pt>
                <c:pt idx="161">
                  <c:v>49019305</c:v>
                </c:pt>
                <c:pt idx="162">
                  <c:v>48270382</c:v>
                </c:pt>
                <c:pt idx="163">
                  <c:v>47746641</c:v>
                </c:pt>
                <c:pt idx="164">
                  <c:v>46445634</c:v>
                </c:pt>
                <c:pt idx="165">
                  <c:v>47126000</c:v>
                </c:pt>
                <c:pt idx="166">
                  <c:v>46588000</c:v>
                </c:pt>
                <c:pt idx="167">
                  <c:v>46885000</c:v>
                </c:pt>
                <c:pt idx="168">
                  <c:v>47188000</c:v>
                </c:pt>
                <c:pt idx="169">
                  <c:v>48664000</c:v>
                </c:pt>
                <c:pt idx="170">
                  <c:v>47456000</c:v>
                </c:pt>
                <c:pt idx="171">
                  <c:v>46682000</c:v>
                </c:pt>
                <c:pt idx="172">
                  <c:v>47742000</c:v>
                </c:pt>
                <c:pt idx="173">
                  <c:v>49352000</c:v>
                </c:pt>
                <c:pt idx="174">
                  <c:v>49599000</c:v>
                </c:pt>
                <c:pt idx="175">
                  <c:v>49022000</c:v>
                </c:pt>
                <c:pt idx="176">
                  <c:v>49706000</c:v>
                </c:pt>
                <c:pt idx="177">
                  <c:v>50891000</c:v>
                </c:pt>
                <c:pt idx="178">
                  <c:v>49315000</c:v>
                </c:pt>
                <c:pt idx="179">
                  <c:v>50350000</c:v>
                </c:pt>
                <c:pt idx="180">
                  <c:v>49885000</c:v>
                </c:pt>
                <c:pt idx="181">
                  <c:v>49095000</c:v>
                </c:pt>
                <c:pt idx="182">
                  <c:v>49596000</c:v>
                </c:pt>
                <c:pt idx="183">
                  <c:v>51506000</c:v>
                </c:pt>
                <c:pt idx="184">
                  <c:v>51333000</c:v>
                </c:pt>
                <c:pt idx="185">
                  <c:v>49687000</c:v>
                </c:pt>
                <c:pt idx="186">
                  <c:v>49913000</c:v>
                </c:pt>
                <c:pt idx="187">
                  <c:v>49362000</c:v>
                </c:pt>
                <c:pt idx="188">
                  <c:v>48911000</c:v>
                </c:pt>
                <c:pt idx="189">
                  <c:v>48971000</c:v>
                </c:pt>
                <c:pt idx="190">
                  <c:v>50690000</c:v>
                </c:pt>
                <c:pt idx="191">
                  <c:v>50482000</c:v>
                </c:pt>
                <c:pt idx="192">
                  <c:v>50705000</c:v>
                </c:pt>
                <c:pt idx="193">
                  <c:v>50350000</c:v>
                </c:pt>
                <c:pt idx="194">
                  <c:v>51749000</c:v>
                </c:pt>
                <c:pt idx="195">
                  <c:v>50470000</c:v>
                </c:pt>
                <c:pt idx="196">
                  <c:v>51466000</c:v>
                </c:pt>
                <c:pt idx="197">
                  <c:v>53210000</c:v>
                </c:pt>
                <c:pt idx="198">
                  <c:v>54336000</c:v>
                </c:pt>
                <c:pt idx="199">
                  <c:v>54931000</c:v>
                </c:pt>
                <c:pt idx="200">
                  <c:v>56081000</c:v>
                </c:pt>
                <c:pt idx="201">
                  <c:v>56245000</c:v>
                </c:pt>
                <c:pt idx="202">
                  <c:v>57912000</c:v>
                </c:pt>
                <c:pt idx="203">
                  <c:v>61924000</c:v>
                </c:pt>
                <c:pt idx="204">
                  <c:v>64686000</c:v>
                </c:pt>
                <c:pt idx="205">
                  <c:v>67257000</c:v>
                </c:pt>
                <c:pt idx="206">
                  <c:v>69417000</c:v>
                </c:pt>
                <c:pt idx="207">
                  <c:v>72399000</c:v>
                </c:pt>
                <c:pt idx="208">
                  <c:v>73693000</c:v>
                </c:pt>
                <c:pt idx="209">
                  <c:v>73176000</c:v>
                </c:pt>
                <c:pt idx="210">
                  <c:v>72863000</c:v>
                </c:pt>
                <c:pt idx="211">
                  <c:v>73573000</c:v>
                </c:pt>
                <c:pt idx="212">
                  <c:v>73331000</c:v>
                </c:pt>
                <c:pt idx="213">
                  <c:v>74575000</c:v>
                </c:pt>
                <c:pt idx="214">
                  <c:v>73347000</c:v>
                </c:pt>
                <c:pt idx="215">
                  <c:v>71223000</c:v>
                </c:pt>
                <c:pt idx="216">
                  <c:v>70382000</c:v>
                </c:pt>
                <c:pt idx="217">
                  <c:v>70521251</c:v>
                </c:pt>
                <c:pt idx="218">
                  <c:v>67526164</c:v>
                </c:pt>
                <c:pt idx="219">
                  <c:v>66086357</c:v>
                </c:pt>
                <c:pt idx="220">
                  <c:v>66425879</c:v>
                </c:pt>
                <c:pt idx="221">
                  <c:v>70051539</c:v>
                </c:pt>
                <c:pt idx="222">
                  <c:v>70293007</c:v>
                </c:pt>
                <c:pt idx="223">
                  <c:v>70860514</c:v>
                </c:pt>
                <c:pt idx="224">
                  <c:v>71089380</c:v>
                </c:pt>
                <c:pt idx="225">
                  <c:v>73325103</c:v>
                </c:pt>
                <c:pt idx="226">
                  <c:v>74062944</c:v>
                </c:pt>
                <c:pt idx="227">
                  <c:v>72931416</c:v>
                </c:pt>
                <c:pt idx="228">
                  <c:v>72238452</c:v>
                </c:pt>
                <c:pt idx="229">
                  <c:v>70713410</c:v>
                </c:pt>
                <c:pt idx="230">
                  <c:v>71855038</c:v>
                </c:pt>
                <c:pt idx="231">
                  <c:v>69896808</c:v>
                </c:pt>
                <c:pt idx="232">
                  <c:v>66553025</c:v>
                </c:pt>
                <c:pt idx="233">
                  <c:v>64597365</c:v>
                </c:pt>
                <c:pt idx="234">
                  <c:v>63134897</c:v>
                </c:pt>
                <c:pt idx="235">
                  <c:v>63121390</c:v>
                </c:pt>
                <c:pt idx="236">
                  <c:v>65238524</c:v>
                </c:pt>
                <c:pt idx="237">
                  <c:v>63941801</c:v>
                </c:pt>
                <c:pt idx="238">
                  <c:v>63445960</c:v>
                </c:pt>
                <c:pt idx="239">
                  <c:v>64693599</c:v>
                </c:pt>
                <c:pt idx="240">
                  <c:v>62769749</c:v>
                </c:pt>
                <c:pt idx="241">
                  <c:v>63136651</c:v>
                </c:pt>
                <c:pt idx="242">
                  <c:v>66760181</c:v>
                </c:pt>
                <c:pt idx="243">
                  <c:v>69218062</c:v>
                </c:pt>
                <c:pt idx="244">
                  <c:v>74947395</c:v>
                </c:pt>
                <c:pt idx="245">
                  <c:v>74944494</c:v>
                </c:pt>
                <c:pt idx="246">
                  <c:v>77873984</c:v>
                </c:pt>
                <c:pt idx="247">
                  <c:v>78271843</c:v>
                </c:pt>
                <c:pt idx="248">
                  <c:v>77910201</c:v>
                </c:pt>
                <c:pt idx="249">
                  <c:v>76839028</c:v>
                </c:pt>
                <c:pt idx="250">
                  <c:v>78957735</c:v>
                </c:pt>
                <c:pt idx="251">
                  <c:v>79337052</c:v>
                </c:pt>
                <c:pt idx="252">
                  <c:v>83653261</c:v>
                </c:pt>
                <c:pt idx="253">
                  <c:v>84434811</c:v>
                </c:pt>
                <c:pt idx="254">
                  <c:v>80577040</c:v>
                </c:pt>
                <c:pt idx="255">
                  <c:v>81662243</c:v>
                </c:pt>
                <c:pt idx="256">
                  <c:v>79656284</c:v>
                </c:pt>
                <c:pt idx="257">
                  <c:v>82786440</c:v>
                </c:pt>
                <c:pt idx="258">
                  <c:v>84997978</c:v>
                </c:pt>
                <c:pt idx="259">
                  <c:v>84416840</c:v>
                </c:pt>
                <c:pt idx="260">
                  <c:v>83477667</c:v>
                </c:pt>
                <c:pt idx="261">
                  <c:v>85615708</c:v>
                </c:pt>
                <c:pt idx="262">
                  <c:v>89929607</c:v>
                </c:pt>
                <c:pt idx="263">
                  <c:v>90845785</c:v>
                </c:pt>
                <c:pt idx="264">
                  <c:v>90597763</c:v>
                </c:pt>
                <c:pt idx="265">
                  <c:v>91431058</c:v>
                </c:pt>
                <c:pt idx="266">
                  <c:v>92964713</c:v>
                </c:pt>
                <c:pt idx="267">
                  <c:v>98959219</c:v>
                </c:pt>
                <c:pt idx="268">
                  <c:v>99642926</c:v>
                </c:pt>
                <c:pt idx="269">
                  <c:v>100899098</c:v>
                </c:pt>
                <c:pt idx="270">
                  <c:v>98768652</c:v>
                </c:pt>
                <c:pt idx="271">
                  <c:v>100424656</c:v>
                </c:pt>
                <c:pt idx="272">
                  <c:v>100886116</c:v>
                </c:pt>
                <c:pt idx="273">
                  <c:v>100966922</c:v>
                </c:pt>
                <c:pt idx="274">
                  <c:v>99343452</c:v>
                </c:pt>
                <c:pt idx="275">
                  <c:v>99040974</c:v>
                </c:pt>
                <c:pt idx="276">
                  <c:v>100995552</c:v>
                </c:pt>
                <c:pt idx="277">
                  <c:v>103530632</c:v>
                </c:pt>
                <c:pt idx="278">
                  <c:v>102918380</c:v>
                </c:pt>
                <c:pt idx="279">
                  <c:v>98198343</c:v>
                </c:pt>
                <c:pt idx="280">
                  <c:v>97658392</c:v>
                </c:pt>
                <c:pt idx="281">
                  <c:v>94467141</c:v>
                </c:pt>
                <c:pt idx="282">
                  <c:v>97128354</c:v>
                </c:pt>
                <c:pt idx="283">
                  <c:v>102526220</c:v>
                </c:pt>
                <c:pt idx="284">
                  <c:v>102787593</c:v>
                </c:pt>
                <c:pt idx="285">
                  <c:v>104646841</c:v>
                </c:pt>
                <c:pt idx="286">
                  <c:v>103421299</c:v>
                </c:pt>
                <c:pt idx="287">
                  <c:v>104165316</c:v>
                </c:pt>
                <c:pt idx="288">
                  <c:v>104189562</c:v>
                </c:pt>
                <c:pt idx="289">
                  <c:v>100998418</c:v>
                </c:pt>
                <c:pt idx="290">
                  <c:v>104557546</c:v>
                </c:pt>
                <c:pt idx="291">
                  <c:v>104793204</c:v>
                </c:pt>
                <c:pt idx="292">
                  <c:v>104964933</c:v>
                </c:pt>
                <c:pt idx="293">
                  <c:v>108269066</c:v>
                </c:pt>
                <c:pt idx="294">
                  <c:v>108858422</c:v>
                </c:pt>
                <c:pt idx="295">
                  <c:v>105152062</c:v>
                </c:pt>
                <c:pt idx="296">
                  <c:v>107511037</c:v>
                </c:pt>
                <c:pt idx="297">
                  <c:v>108008847</c:v>
                </c:pt>
                <c:pt idx="298">
                  <c:v>108764597</c:v>
                </c:pt>
                <c:pt idx="299">
                  <c:v>113521882</c:v>
                </c:pt>
                <c:pt idx="300">
                  <c:v>114279470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CF-47CB-8102-01445D84E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59936"/>
        <c:axId val="121961472"/>
      </c:lineChart>
      <c:lineChart>
        <c:grouping val="standard"/>
        <c:varyColors val="0"/>
        <c:ser>
          <c:idx val="2"/>
          <c:order val="2"/>
          <c:tx>
            <c:strRef>
              <c:f>Data!$D$6</c:f>
              <c:strCache>
                <c:ptCount val="1"/>
                <c:pt idx="0">
                  <c:v>O/S-Ratio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Data!$A$7:$A$307</c:f>
              <c:numCache>
                <c:formatCode>mmm\-yy</c:formatCode>
                <c:ptCount val="301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</c:numRef>
          </c:cat>
          <c:val>
            <c:numRef>
              <c:f>Data!$D$7:$D$307</c:f>
              <c:numCache>
                <c:formatCode>0.00</c:formatCode>
                <c:ptCount val="301"/>
                <c:pt idx="11">
                  <c:v>1.0335246458224554</c:v>
                </c:pt>
                <c:pt idx="12">
                  <c:v>1.0388079987197361</c:v>
                </c:pt>
                <c:pt idx="13">
                  <c:v>1.0402508891136517</c:v>
                </c:pt>
                <c:pt idx="14">
                  <c:v>1.0686394733248161</c:v>
                </c:pt>
                <c:pt idx="15">
                  <c:v>1.0617754569267486</c:v>
                </c:pt>
                <c:pt idx="16">
                  <c:v>1.1023716150572245</c:v>
                </c:pt>
                <c:pt idx="17">
                  <c:v>1.0327889174000111</c:v>
                </c:pt>
                <c:pt idx="18">
                  <c:v>0.99420638711046172</c:v>
                </c:pt>
                <c:pt idx="19">
                  <c:v>0.99757442279863118</c:v>
                </c:pt>
                <c:pt idx="20">
                  <c:v>1.0126604935176389</c:v>
                </c:pt>
                <c:pt idx="21">
                  <c:v>0.96933642212938009</c:v>
                </c:pt>
                <c:pt idx="22">
                  <c:v>1.0213551869204824</c:v>
                </c:pt>
                <c:pt idx="23">
                  <c:v>1.0368149939093489</c:v>
                </c:pt>
                <c:pt idx="24">
                  <c:v>1.032165609885096</c:v>
                </c:pt>
                <c:pt idx="25">
                  <c:v>0.98770743320966747</c:v>
                </c:pt>
                <c:pt idx="26">
                  <c:v>0.98636139780050547</c:v>
                </c:pt>
                <c:pt idx="27">
                  <c:v>1.0023337548716271</c:v>
                </c:pt>
                <c:pt idx="28">
                  <c:v>0.97133658473235807</c:v>
                </c:pt>
                <c:pt idx="29">
                  <c:v>1.0592425774785077</c:v>
                </c:pt>
                <c:pt idx="30">
                  <c:v>1.0266134003100171</c:v>
                </c:pt>
                <c:pt idx="31">
                  <c:v>1.0064243731986813</c:v>
                </c:pt>
                <c:pt idx="32">
                  <c:v>0.97364624664097121</c:v>
                </c:pt>
                <c:pt idx="33">
                  <c:v>0.99094973497619443</c:v>
                </c:pt>
                <c:pt idx="34">
                  <c:v>0.98215661761191997</c:v>
                </c:pt>
                <c:pt idx="35">
                  <c:v>0.94733896123844197</c:v>
                </c:pt>
                <c:pt idx="36">
                  <c:v>0.99563258876281224</c:v>
                </c:pt>
                <c:pt idx="37">
                  <c:v>1.0195508920473841</c:v>
                </c:pt>
                <c:pt idx="38">
                  <c:v>1.0155533972619255</c:v>
                </c:pt>
                <c:pt idx="39">
                  <c:v>1.0298636380014266</c:v>
                </c:pt>
                <c:pt idx="40">
                  <c:v>1.008494090735244</c:v>
                </c:pt>
                <c:pt idx="41">
                  <c:v>0.93778560598343408</c:v>
                </c:pt>
                <c:pt idx="42">
                  <c:v>0.98325054193869599</c:v>
                </c:pt>
                <c:pt idx="43">
                  <c:v>1.0345635416635675</c:v>
                </c:pt>
                <c:pt idx="44">
                  <c:v>1.0247000911587405</c:v>
                </c:pt>
                <c:pt idx="45">
                  <c:v>1.0380449796160323</c:v>
                </c:pt>
                <c:pt idx="46">
                  <c:v>1.058962240942992</c:v>
                </c:pt>
                <c:pt idx="47">
                  <c:v>1.0514125012093745</c:v>
                </c:pt>
                <c:pt idx="48">
                  <c:v>1.006637480860993</c:v>
                </c:pt>
                <c:pt idx="49">
                  <c:v>1.0156925500465228</c:v>
                </c:pt>
                <c:pt idx="50">
                  <c:v>0.99446103544847408</c:v>
                </c:pt>
                <c:pt idx="51">
                  <c:v>0.9669245652995585</c:v>
                </c:pt>
                <c:pt idx="52">
                  <c:v>0.99636655939715757</c:v>
                </c:pt>
                <c:pt idx="53">
                  <c:v>1.0219308561760356</c:v>
                </c:pt>
                <c:pt idx="54">
                  <c:v>1.0220569316532635</c:v>
                </c:pt>
                <c:pt idx="55">
                  <c:v>0.98567899406644954</c:v>
                </c:pt>
                <c:pt idx="56">
                  <c:v>1.0350876556770396</c:v>
                </c:pt>
                <c:pt idx="57">
                  <c:v>1.002036856870633</c:v>
                </c:pt>
                <c:pt idx="58">
                  <c:v>0.9997664718310727</c:v>
                </c:pt>
                <c:pt idx="59">
                  <c:v>1.0008280306504991</c:v>
                </c:pt>
                <c:pt idx="60">
                  <c:v>1.0066654935667105</c:v>
                </c:pt>
                <c:pt idx="61">
                  <c:v>0.98066883034123109</c:v>
                </c:pt>
                <c:pt idx="62">
                  <c:v>0.99792855243351108</c:v>
                </c:pt>
                <c:pt idx="63">
                  <c:v>1.0027040821599613</c:v>
                </c:pt>
                <c:pt idx="64">
                  <c:v>0.96219183109155382</c:v>
                </c:pt>
                <c:pt idx="65">
                  <c:v>1.0010301243761957</c:v>
                </c:pt>
                <c:pt idx="66">
                  <c:v>1.0122943954104335</c:v>
                </c:pt>
                <c:pt idx="67">
                  <c:v>1.0276317286292374</c:v>
                </c:pt>
                <c:pt idx="68">
                  <c:v>1.0083302047769855</c:v>
                </c:pt>
                <c:pt idx="69">
                  <c:v>1.0486658331408967</c:v>
                </c:pt>
                <c:pt idx="70">
                  <c:v>1.0017356460309943</c:v>
                </c:pt>
                <c:pt idx="71">
                  <c:v>0.96365326045659538</c:v>
                </c:pt>
                <c:pt idx="72">
                  <c:v>0.95158707236347029</c:v>
                </c:pt>
                <c:pt idx="73">
                  <c:v>0.98219748500191384</c:v>
                </c:pt>
                <c:pt idx="74">
                  <c:v>0.98306958053257643</c:v>
                </c:pt>
                <c:pt idx="75">
                  <c:v>0.98855256077803322</c:v>
                </c:pt>
                <c:pt idx="76">
                  <c:v>1.015300007043201</c:v>
                </c:pt>
                <c:pt idx="77">
                  <c:v>1.051720923640042</c:v>
                </c:pt>
                <c:pt idx="78">
                  <c:v>1.0684648513255222</c:v>
                </c:pt>
                <c:pt idx="79">
                  <c:v>1.0685577308988445</c:v>
                </c:pt>
                <c:pt idx="80">
                  <c:v>1.039747759343193</c:v>
                </c:pt>
                <c:pt idx="81">
                  <c:v>1.0127456758076465</c:v>
                </c:pt>
                <c:pt idx="82">
                  <c:v>1.0341280508229678</c:v>
                </c:pt>
                <c:pt idx="83">
                  <c:v>1.0418150385901297</c:v>
                </c:pt>
                <c:pt idx="84">
                  <c:v>1.0574134446608778</c:v>
                </c:pt>
                <c:pt idx="85">
                  <c:v>1.0124222006474703</c:v>
                </c:pt>
                <c:pt idx="86">
                  <c:v>1.0238279329594371</c:v>
                </c:pt>
                <c:pt idx="87">
                  <c:v>1.0391985118863269</c:v>
                </c:pt>
                <c:pt idx="88">
                  <c:v>1.0100064714254358</c:v>
                </c:pt>
                <c:pt idx="89">
                  <c:v>0.96932610177003642</c:v>
                </c:pt>
                <c:pt idx="90">
                  <c:v>0.95791392263106168</c:v>
                </c:pt>
                <c:pt idx="91">
                  <c:v>0.93513384175965786</c:v>
                </c:pt>
                <c:pt idx="92">
                  <c:v>0.93648759529628389</c:v>
                </c:pt>
                <c:pt idx="93">
                  <c:v>0.95861058756779161</c:v>
                </c:pt>
                <c:pt idx="94">
                  <c:v>0.92533474961667528</c:v>
                </c:pt>
                <c:pt idx="95">
                  <c:v>0.95747602091190065</c:v>
                </c:pt>
                <c:pt idx="96">
                  <c:v>0.93367315162002618</c:v>
                </c:pt>
                <c:pt idx="97">
                  <c:v>0.97178848936544293</c:v>
                </c:pt>
                <c:pt idx="98">
                  <c:v>0.93045626593179043</c:v>
                </c:pt>
                <c:pt idx="99">
                  <c:v>0.89712960339373826</c:v>
                </c:pt>
                <c:pt idx="100">
                  <c:v>0.91529814122537467</c:v>
                </c:pt>
                <c:pt idx="101">
                  <c:v>0.87948686484454563</c:v>
                </c:pt>
                <c:pt idx="102">
                  <c:v>0.85910001726319218</c:v>
                </c:pt>
                <c:pt idx="103">
                  <c:v>0.88603579062018101</c:v>
                </c:pt>
                <c:pt idx="104">
                  <c:v>0.88022946097396915</c:v>
                </c:pt>
                <c:pt idx="105">
                  <c:v>0.84728175961697738</c:v>
                </c:pt>
                <c:pt idx="106">
                  <c:v>0.91413630009121594</c:v>
                </c:pt>
                <c:pt idx="107">
                  <c:v>0.93912974829638385</c:v>
                </c:pt>
                <c:pt idx="108">
                  <c:v>0.95342530021406902</c:v>
                </c:pt>
                <c:pt idx="109">
                  <c:v>0.9712587780775841</c:v>
                </c:pt>
                <c:pt idx="110">
                  <c:v>1.0228590970863414</c:v>
                </c:pt>
                <c:pt idx="111">
                  <c:v>1.0701869038344864</c:v>
                </c:pt>
                <c:pt idx="112">
                  <c:v>1.0654956665573467</c:v>
                </c:pt>
                <c:pt idx="113">
                  <c:v>1.0892656852122062</c:v>
                </c:pt>
                <c:pt idx="114">
                  <c:v>1.0877160409087907</c:v>
                </c:pt>
                <c:pt idx="115">
                  <c:v>1.0050887877754962</c:v>
                </c:pt>
                <c:pt idx="116">
                  <c:v>1.0392914508200686</c:v>
                </c:pt>
                <c:pt idx="117">
                  <c:v>1.0500393511370203</c:v>
                </c:pt>
                <c:pt idx="118">
                  <c:v>1.0498006049685542</c:v>
                </c:pt>
                <c:pt idx="119">
                  <c:v>1.046989612979546</c:v>
                </c:pt>
                <c:pt idx="120">
                  <c:v>1.0738596832415324</c:v>
                </c:pt>
                <c:pt idx="121">
                  <c:v>1.0372598255095717</c:v>
                </c:pt>
                <c:pt idx="122">
                  <c:v>1.0759417091561669</c:v>
                </c:pt>
                <c:pt idx="123">
                  <c:v>1.0440829985783597</c:v>
                </c:pt>
                <c:pt idx="124">
                  <c:v>1.0549795270081512</c:v>
                </c:pt>
                <c:pt idx="125">
                  <c:v>1.0720954622977783</c:v>
                </c:pt>
                <c:pt idx="126">
                  <c:v>1.0621534737936404</c:v>
                </c:pt>
                <c:pt idx="127">
                  <c:v>1.1098791142872821</c:v>
                </c:pt>
                <c:pt idx="128">
                  <c:v>1.104937454247761</c:v>
                </c:pt>
                <c:pt idx="129">
                  <c:v>1.0772923190203509</c:v>
                </c:pt>
                <c:pt idx="130">
                  <c:v>1.0584698545400402</c:v>
                </c:pt>
                <c:pt idx="131">
                  <c:v>1.0471074432187724</c:v>
                </c:pt>
                <c:pt idx="132">
                  <c:v>1.0234030269447796</c:v>
                </c:pt>
                <c:pt idx="133">
                  <c:v>0.99130163810858529</c:v>
                </c:pt>
                <c:pt idx="134">
                  <c:v>0.95926732757021083</c:v>
                </c:pt>
                <c:pt idx="135">
                  <c:v>0.95751076439206961</c:v>
                </c:pt>
                <c:pt idx="136">
                  <c:v>0.94585373847221244</c:v>
                </c:pt>
                <c:pt idx="137">
                  <c:v>0.94071944723627365</c:v>
                </c:pt>
                <c:pt idx="138">
                  <c:v>0.95475678059198588</c:v>
                </c:pt>
                <c:pt idx="139">
                  <c:v>0.93890620874249098</c:v>
                </c:pt>
                <c:pt idx="140">
                  <c:v>0.90665461199574215</c:v>
                </c:pt>
                <c:pt idx="141">
                  <c:v>0.91418694124978039</c:v>
                </c:pt>
                <c:pt idx="142">
                  <c:v>0.89997230918137916</c:v>
                </c:pt>
                <c:pt idx="143">
                  <c:v>0.89743040632042237</c:v>
                </c:pt>
                <c:pt idx="144">
                  <c:v>0.92217024286250304</c:v>
                </c:pt>
                <c:pt idx="145">
                  <c:v>0.94229360460030631</c:v>
                </c:pt>
                <c:pt idx="146">
                  <c:v>0.92319238130624526</c:v>
                </c:pt>
                <c:pt idx="147">
                  <c:v>0.93213411159668613</c:v>
                </c:pt>
                <c:pt idx="148">
                  <c:v>0.93598747969418816</c:v>
                </c:pt>
                <c:pt idx="149">
                  <c:v>0.94365296899369022</c:v>
                </c:pt>
                <c:pt idx="150">
                  <c:v>0.93725749049408891</c:v>
                </c:pt>
                <c:pt idx="151">
                  <c:v>0.97920818821787881</c:v>
                </c:pt>
                <c:pt idx="152">
                  <c:v>1.0515348227885688</c:v>
                </c:pt>
                <c:pt idx="153">
                  <c:v>1.0010811792326486</c:v>
                </c:pt>
                <c:pt idx="154">
                  <c:v>1.046434492670514</c:v>
                </c:pt>
                <c:pt idx="155">
                  <c:v>1.0423407237750639</c:v>
                </c:pt>
                <c:pt idx="156">
                  <c:v>1.0088864929239543</c:v>
                </c:pt>
                <c:pt idx="157">
                  <c:v>1.0150287551417301</c:v>
                </c:pt>
                <c:pt idx="158">
                  <c:v>1.0519948252853366</c:v>
                </c:pt>
                <c:pt idx="159">
                  <c:v>1.0384160944175271</c:v>
                </c:pt>
                <c:pt idx="160">
                  <c:v>1.0145878794287511</c:v>
                </c:pt>
                <c:pt idx="161">
                  <c:v>1.0009365076062349</c:v>
                </c:pt>
                <c:pt idx="162">
                  <c:v>0.97014916643903748</c:v>
                </c:pt>
                <c:pt idx="163">
                  <c:v>0.95549283435021271</c:v>
                </c:pt>
                <c:pt idx="164">
                  <c:v>0.92634039945199376</c:v>
                </c:pt>
                <c:pt idx="165">
                  <c:v>0.9627964941671604</c:v>
                </c:pt>
                <c:pt idx="166">
                  <c:v>0.95885730751023934</c:v>
                </c:pt>
                <c:pt idx="167">
                  <c:v>0.96064008523542188</c:v>
                </c:pt>
                <c:pt idx="168">
                  <c:v>0.98641247543793642</c:v>
                </c:pt>
                <c:pt idx="169">
                  <c:v>1.02681830650096</c:v>
                </c:pt>
                <c:pt idx="170">
                  <c:v>1.0227806633763659</c:v>
                </c:pt>
                <c:pt idx="171">
                  <c:v>1.0112646765738054</c:v>
                </c:pt>
                <c:pt idx="172">
                  <c:v>1.0010483938606056</c:v>
                </c:pt>
                <c:pt idx="173">
                  <c:v>1.0202807467284116</c:v>
                </c:pt>
                <c:pt idx="174">
                  <c:v>1.0411427611830644</c:v>
                </c:pt>
                <c:pt idx="175">
                  <c:v>1.0290740390872641</c:v>
                </c:pt>
                <c:pt idx="176">
                  <c:v>1.0146566506083123</c:v>
                </c:pt>
                <c:pt idx="177">
                  <c:v>1.0242729193921707</c:v>
                </c:pt>
                <c:pt idx="178">
                  <c:v>0.97624467979807983</c:v>
                </c:pt>
                <c:pt idx="179">
                  <c:v>0.98516866244032242</c:v>
                </c:pt>
                <c:pt idx="180">
                  <c:v>0.98204618382975373</c:v>
                </c:pt>
                <c:pt idx="181">
                  <c:v>0.97102452531645567</c:v>
                </c:pt>
                <c:pt idx="182">
                  <c:v>0.96114416387279311</c:v>
                </c:pt>
                <c:pt idx="183">
                  <c:v>1.014237047830967</c:v>
                </c:pt>
                <c:pt idx="184">
                  <c:v>1.0505494955283139</c:v>
                </c:pt>
                <c:pt idx="185">
                  <c:v>0.97457976188141149</c:v>
                </c:pt>
                <c:pt idx="186">
                  <c:v>0.97423535611812695</c:v>
                </c:pt>
                <c:pt idx="187">
                  <c:v>0.96778747181648861</c:v>
                </c:pt>
                <c:pt idx="188">
                  <c:v>0.96679251250222376</c:v>
                </c:pt>
                <c:pt idx="189">
                  <c:v>0.98535181794402305</c:v>
                </c:pt>
                <c:pt idx="190">
                  <c:v>1.013881110488839</c:v>
                </c:pt>
                <c:pt idx="191">
                  <c:v>0.99554310956850989</c:v>
                </c:pt>
                <c:pt idx="192">
                  <c:v>0.97933365523901494</c:v>
                </c:pt>
                <c:pt idx="193">
                  <c:v>0.96104292722032414</c:v>
                </c:pt>
                <c:pt idx="194">
                  <c:v>0.99582419274140788</c:v>
                </c:pt>
                <c:pt idx="195">
                  <c:v>0.97738099848948445</c:v>
                </c:pt>
                <c:pt idx="196">
                  <c:v>0.9636744935026027</c:v>
                </c:pt>
                <c:pt idx="197">
                  <c:v>1.0268830692629831</c:v>
                </c:pt>
                <c:pt idx="198">
                  <c:v>1.0477035208823415</c:v>
                </c:pt>
                <c:pt idx="199">
                  <c:v>1.0228855536106662</c:v>
                </c:pt>
                <c:pt idx="200">
                  <c:v>1.0086692206694365</c:v>
                </c:pt>
                <c:pt idx="201">
                  <c:v>1.0012995798618529</c:v>
                </c:pt>
                <c:pt idx="202">
                  <c:v>1.0314353393769926</c:v>
                </c:pt>
                <c:pt idx="203">
                  <c:v>1.0627445596210614</c:v>
                </c:pt>
                <c:pt idx="204">
                  <c:v>1.0697382129686286</c:v>
                </c:pt>
                <c:pt idx="205">
                  <c:v>1.0910373915159379</c:v>
                </c:pt>
                <c:pt idx="206">
                  <c:v>1.1071115293217013</c:v>
                </c:pt>
                <c:pt idx="207">
                  <c:v>1.0773340079164311</c:v>
                </c:pt>
                <c:pt idx="208">
                  <c:v>1.0860364011495101</c:v>
                </c:pt>
                <c:pt idx="209">
                  <c:v>1.050338026956035</c:v>
                </c:pt>
                <c:pt idx="210">
                  <c:v>0.97259597415772336</c:v>
                </c:pt>
                <c:pt idx="211">
                  <c:v>0.97909347386351542</c:v>
                </c:pt>
                <c:pt idx="212">
                  <c:v>0.98457303974221266</c:v>
                </c:pt>
                <c:pt idx="213">
                  <c:v>0.97740468420293847</c:v>
                </c:pt>
                <c:pt idx="214">
                  <c:v>0.9591353698085574</c:v>
                </c:pt>
                <c:pt idx="215">
                  <c:v>0.95745281497015644</c:v>
                </c:pt>
                <c:pt idx="216">
                  <c:v>0.95071805675401277</c:v>
                </c:pt>
                <c:pt idx="217">
                  <c:v>0.95909880638245271</c:v>
                </c:pt>
                <c:pt idx="218">
                  <c:v>0.90750408746100131</c:v>
                </c:pt>
                <c:pt idx="219">
                  <c:v>0.90148089050487501</c:v>
                </c:pt>
                <c:pt idx="220">
                  <c:v>0.89938555008955423</c:v>
                </c:pt>
                <c:pt idx="221">
                  <c:v>0.9600850497428941</c:v>
                </c:pt>
                <c:pt idx="222">
                  <c:v>1.0187511763724881</c:v>
                </c:pt>
                <c:pt idx="223">
                  <c:v>1.0265258230142957</c:v>
                </c:pt>
                <c:pt idx="224">
                  <c:v>0.9964838070459715</c:v>
                </c:pt>
                <c:pt idx="225">
                  <c:v>1.0456865181541477</c:v>
                </c:pt>
                <c:pt idx="226">
                  <c:v>1.0344364826077022</c:v>
                </c:pt>
                <c:pt idx="227">
                  <c:v>1.0213867339186284</c:v>
                </c:pt>
                <c:pt idx="228">
                  <c:v>0.99709307461507846</c:v>
                </c:pt>
                <c:pt idx="229">
                  <c:v>0.98379746597346263</c:v>
                </c:pt>
                <c:pt idx="230">
                  <c:v>0.95641409446028025</c:v>
                </c:pt>
                <c:pt idx="231">
                  <c:v>0.94959131269305752</c:v>
                </c:pt>
                <c:pt idx="232">
                  <c:v>0.93674528926505751</c:v>
                </c:pt>
                <c:pt idx="233">
                  <c:v>0.93111768733796219</c:v>
                </c:pt>
                <c:pt idx="234">
                  <c:v>0.93092058161789293</c:v>
                </c:pt>
                <c:pt idx="235">
                  <c:v>0.95941422181402414</c:v>
                </c:pt>
                <c:pt idx="236">
                  <c:v>1.0007164395998283</c:v>
                </c:pt>
                <c:pt idx="237">
                  <c:v>0.97074860371903138</c:v>
                </c:pt>
                <c:pt idx="238">
                  <c:v>0.9668742274228721</c:v>
                </c:pt>
                <c:pt idx="239">
                  <c:v>0.92079955969185545</c:v>
                </c:pt>
                <c:pt idx="240">
                  <c:v>0.92676389217173416</c:v>
                </c:pt>
                <c:pt idx="241">
                  <c:v>0.93883400980352916</c:v>
                </c:pt>
                <c:pt idx="242">
                  <c:v>1.0231990599713643</c:v>
                </c:pt>
                <c:pt idx="243">
                  <c:v>1.0389615329257433</c:v>
                </c:pt>
                <c:pt idx="244">
                  <c:v>1.0863631622450705</c:v>
                </c:pt>
                <c:pt idx="245">
                  <c:v>1.0480025756887548</c:v>
                </c:pt>
                <c:pt idx="246">
                  <c:v>1.0639393032298681</c:v>
                </c:pt>
                <c:pt idx="247">
                  <c:v>1.0313345581861251</c:v>
                </c:pt>
                <c:pt idx="248">
                  <c:v>1.015055285649318</c:v>
                </c:pt>
                <c:pt idx="249">
                  <c:v>0.97827927716010843</c:v>
                </c:pt>
                <c:pt idx="250">
                  <c:v>0.99267454069412897</c:v>
                </c:pt>
                <c:pt idx="251">
                  <c:v>1.0337098614399465</c:v>
                </c:pt>
                <c:pt idx="252">
                  <c:v>1.0676926897669685</c:v>
                </c:pt>
                <c:pt idx="253">
                  <c:v>1.0509018228977476</c:v>
                </c:pt>
                <c:pt idx="254">
                  <c:v>0.98742082834759204</c:v>
                </c:pt>
                <c:pt idx="255">
                  <c:v>1.0222287973871118</c:v>
                </c:pt>
                <c:pt idx="256">
                  <c:v>1.000352249425094</c:v>
                </c:pt>
                <c:pt idx="257">
                  <c:v>1.0473118520886648</c:v>
                </c:pt>
                <c:pt idx="258">
                  <c:v>1.0387439951836328</c:v>
                </c:pt>
                <c:pt idx="259">
                  <c:v>1.0187558992181232</c:v>
                </c:pt>
                <c:pt idx="260">
                  <c:v>1.0314527624925418</c:v>
                </c:pt>
                <c:pt idx="261">
                  <c:v>1.0336044900426675</c:v>
                </c:pt>
                <c:pt idx="262">
                  <c:v>1.0643103177460089</c:v>
                </c:pt>
                <c:pt idx="263">
                  <c:v>1.0643581072175263</c:v>
                </c:pt>
                <c:pt idx="264">
                  <c:v>1.051417622157319</c:v>
                </c:pt>
                <c:pt idx="265">
                  <c:v>1.0553716984074621</c:v>
                </c:pt>
                <c:pt idx="266">
                  <c:v>1.0690532200174436</c:v>
                </c:pt>
                <c:pt idx="267">
                  <c:v>1.1151315599686786</c:v>
                </c:pt>
                <c:pt idx="268">
                  <c:v>1.1036328068500048</c:v>
                </c:pt>
                <c:pt idx="269">
                  <c:v>1.0426197844959006</c:v>
                </c:pt>
                <c:pt idx="270">
                  <c:v>1.0527726521724921</c:v>
                </c:pt>
                <c:pt idx="271">
                  <c:v>1.0718255923264175</c:v>
                </c:pt>
                <c:pt idx="272">
                  <c:v>1.0538187651703803</c:v>
                </c:pt>
                <c:pt idx="273">
                  <c:v>1.0488514139970262</c:v>
                </c:pt>
                <c:pt idx="274">
                  <c:v>0.95421975238099044</c:v>
                </c:pt>
                <c:pt idx="275">
                  <c:v>0.9480007283376618</c:v>
                </c:pt>
                <c:pt idx="276">
                  <c:v>0.9486503745727809</c:v>
                </c:pt>
                <c:pt idx="277">
                  <c:v>0.94326037831771681</c:v>
                </c:pt>
                <c:pt idx="278">
                  <c:v>0.94012863010962977</c:v>
                </c:pt>
                <c:pt idx="279">
                  <c:v>0.89126784472904608</c:v>
                </c:pt>
                <c:pt idx="280">
                  <c:v>0.89176687558943213</c:v>
                </c:pt>
                <c:pt idx="281">
                  <c:v>0.89614563468482833</c:v>
                </c:pt>
                <c:pt idx="282">
                  <c:v>0.90225556659920547</c:v>
                </c:pt>
                <c:pt idx="283">
                  <c:v>0.92815999479132139</c:v>
                </c:pt>
                <c:pt idx="284">
                  <c:v>0.93400385397605912</c:v>
                </c:pt>
                <c:pt idx="285">
                  <c:v>0.96211665986774886</c:v>
                </c:pt>
                <c:pt idx="286">
                  <c:v>0.99638874793148602</c:v>
                </c:pt>
                <c:pt idx="287">
                  <c:v>0.97402508837522139</c:v>
                </c:pt>
                <c:pt idx="288">
                  <c:v>0.98655575179334654</c:v>
                </c:pt>
                <c:pt idx="289">
                  <c:v>0.96510697585279814</c:v>
                </c:pt>
                <c:pt idx="290">
                  <c:v>1.0026240772340911</c:v>
                </c:pt>
                <c:pt idx="291">
                  <c:v>0.97348652694594096</c:v>
                </c:pt>
                <c:pt idx="292">
                  <c:v>0.97548471928442559</c:v>
                </c:pt>
                <c:pt idx="293">
                  <c:v>1.0073921654936948</c:v>
                </c:pt>
                <c:pt idx="294">
                  <c:v>1.0173618027927425</c:v>
                </c:pt>
                <c:pt idx="295">
                  <c:v>0.98982403655298123</c:v>
                </c:pt>
                <c:pt idx="296">
                  <c:v>1.0041932111122458</c:v>
                </c:pt>
                <c:pt idx="297">
                  <c:v>1.0043728672482657</c:v>
                </c:pt>
                <c:pt idx="298">
                  <c:v>1.0339628563117509</c:v>
                </c:pt>
                <c:pt idx="299">
                  <c:v>1.0690482001282309</c:v>
                </c:pt>
                <c:pt idx="300">
                  <c:v>1.0587270600931837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CF-47CB-8102-01445D84E17F}"/>
            </c:ext>
          </c:extLst>
        </c:ser>
        <c:ser>
          <c:idx val="3"/>
          <c:order val="3"/>
          <c:tx>
            <c:v>ICI</c:v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Data!$E$18:$E$307</c:f>
              <c:numCache>
                <c:formatCode>General</c:formatCode>
                <c:ptCount val="290"/>
                <c:pt idx="0">
                  <c:v>48.6</c:v>
                </c:pt>
                <c:pt idx="1">
                  <c:v>51.2</c:v>
                </c:pt>
                <c:pt idx="2">
                  <c:v>53.7</c:v>
                </c:pt>
                <c:pt idx="3">
                  <c:v>54.3</c:v>
                </c:pt>
                <c:pt idx="4">
                  <c:v>54.3</c:v>
                </c:pt>
                <c:pt idx="5">
                  <c:v>57.3</c:v>
                </c:pt>
                <c:pt idx="6">
                  <c:v>56</c:v>
                </c:pt>
                <c:pt idx="7">
                  <c:v>54.3</c:v>
                </c:pt>
                <c:pt idx="8">
                  <c:v>54.2</c:v>
                </c:pt>
                <c:pt idx="9">
                  <c:v>54</c:v>
                </c:pt>
                <c:pt idx="10">
                  <c:v>53.1</c:v>
                </c:pt>
                <c:pt idx="11">
                  <c:v>54.4</c:v>
                </c:pt>
                <c:pt idx="12">
                  <c:v>54.7</c:v>
                </c:pt>
                <c:pt idx="13">
                  <c:v>57.2</c:v>
                </c:pt>
                <c:pt idx="14">
                  <c:v>55.9</c:v>
                </c:pt>
                <c:pt idx="15">
                  <c:v>49.4</c:v>
                </c:pt>
                <c:pt idx="16">
                  <c:v>51.7</c:v>
                </c:pt>
                <c:pt idx="17">
                  <c:v>48.1</c:v>
                </c:pt>
                <c:pt idx="18">
                  <c:v>49.5</c:v>
                </c:pt>
                <c:pt idx="19">
                  <c:v>51.7</c:v>
                </c:pt>
                <c:pt idx="20">
                  <c:v>52.4</c:v>
                </c:pt>
                <c:pt idx="21">
                  <c:v>50.5</c:v>
                </c:pt>
                <c:pt idx="22">
                  <c:v>53.2</c:v>
                </c:pt>
                <c:pt idx="23">
                  <c:v>57.1</c:v>
                </c:pt>
                <c:pt idx="24">
                  <c:v>57</c:v>
                </c:pt>
                <c:pt idx="25">
                  <c:v>57.7</c:v>
                </c:pt>
                <c:pt idx="26">
                  <c:v>56.5</c:v>
                </c:pt>
                <c:pt idx="27">
                  <c:v>61.1</c:v>
                </c:pt>
                <c:pt idx="28">
                  <c:v>60.8</c:v>
                </c:pt>
                <c:pt idx="29">
                  <c:v>59.5</c:v>
                </c:pt>
                <c:pt idx="30">
                  <c:v>59.3</c:v>
                </c:pt>
                <c:pt idx="31">
                  <c:v>57.3</c:v>
                </c:pt>
                <c:pt idx="32">
                  <c:v>57.6</c:v>
                </c:pt>
                <c:pt idx="33">
                  <c:v>57.6</c:v>
                </c:pt>
                <c:pt idx="34">
                  <c:v>57.5</c:v>
                </c:pt>
                <c:pt idx="35">
                  <c:v>55.3</c:v>
                </c:pt>
                <c:pt idx="36">
                  <c:v>56.3</c:v>
                </c:pt>
                <c:pt idx="37">
                  <c:v>55.4</c:v>
                </c:pt>
                <c:pt idx="38">
                  <c:v>55</c:v>
                </c:pt>
                <c:pt idx="39">
                  <c:v>54.2</c:v>
                </c:pt>
                <c:pt idx="40">
                  <c:v>52.8</c:v>
                </c:pt>
                <c:pt idx="41">
                  <c:v>53</c:v>
                </c:pt>
                <c:pt idx="42">
                  <c:v>51.8</c:v>
                </c:pt>
                <c:pt idx="43">
                  <c:v>53.9</c:v>
                </c:pt>
                <c:pt idx="44">
                  <c:v>55.2</c:v>
                </c:pt>
                <c:pt idx="45">
                  <c:v>56.3</c:v>
                </c:pt>
                <c:pt idx="46">
                  <c:v>57.1</c:v>
                </c:pt>
                <c:pt idx="47">
                  <c:v>57.4</c:v>
                </c:pt>
                <c:pt idx="48">
                  <c:v>57.5</c:v>
                </c:pt>
                <c:pt idx="49">
                  <c:v>57.7</c:v>
                </c:pt>
                <c:pt idx="50">
                  <c:v>58.4</c:v>
                </c:pt>
                <c:pt idx="51">
                  <c:v>61.7</c:v>
                </c:pt>
                <c:pt idx="52">
                  <c:v>61</c:v>
                </c:pt>
                <c:pt idx="53">
                  <c:v>61.9</c:v>
                </c:pt>
                <c:pt idx="54">
                  <c:v>62.8</c:v>
                </c:pt>
                <c:pt idx="55">
                  <c:v>62.5</c:v>
                </c:pt>
                <c:pt idx="56">
                  <c:v>61.2</c:v>
                </c:pt>
                <c:pt idx="57">
                  <c:v>61.6</c:v>
                </c:pt>
                <c:pt idx="58">
                  <c:v>59.6</c:v>
                </c:pt>
                <c:pt idx="59">
                  <c:v>63.2</c:v>
                </c:pt>
                <c:pt idx="60">
                  <c:v>63.8</c:v>
                </c:pt>
                <c:pt idx="61">
                  <c:v>61.8</c:v>
                </c:pt>
                <c:pt idx="62">
                  <c:v>63.1</c:v>
                </c:pt>
                <c:pt idx="63">
                  <c:v>59.9</c:v>
                </c:pt>
                <c:pt idx="64">
                  <c:v>59.5</c:v>
                </c:pt>
                <c:pt idx="65">
                  <c:v>58.8</c:v>
                </c:pt>
                <c:pt idx="66">
                  <c:v>58.9</c:v>
                </c:pt>
                <c:pt idx="67">
                  <c:v>58.1</c:v>
                </c:pt>
                <c:pt idx="68">
                  <c:v>57.4</c:v>
                </c:pt>
                <c:pt idx="69">
                  <c:v>57.6</c:v>
                </c:pt>
                <c:pt idx="70">
                  <c:v>58.5</c:v>
                </c:pt>
                <c:pt idx="71">
                  <c:v>57.2</c:v>
                </c:pt>
                <c:pt idx="72">
                  <c:v>56.7</c:v>
                </c:pt>
                <c:pt idx="73">
                  <c:v>55.2</c:v>
                </c:pt>
                <c:pt idx="74">
                  <c:v>55.8</c:v>
                </c:pt>
                <c:pt idx="75">
                  <c:v>54.6</c:v>
                </c:pt>
                <c:pt idx="76">
                  <c:v>50.7</c:v>
                </c:pt>
                <c:pt idx="77">
                  <c:v>50.5</c:v>
                </c:pt>
                <c:pt idx="78">
                  <c:v>48.8</c:v>
                </c:pt>
                <c:pt idx="79">
                  <c:v>45.5</c:v>
                </c:pt>
                <c:pt idx="80">
                  <c:v>46.9</c:v>
                </c:pt>
                <c:pt idx="81">
                  <c:v>41.4</c:v>
                </c:pt>
                <c:pt idx="82">
                  <c:v>38.1</c:v>
                </c:pt>
                <c:pt idx="83">
                  <c:v>35</c:v>
                </c:pt>
                <c:pt idx="84">
                  <c:v>34</c:v>
                </c:pt>
                <c:pt idx="85">
                  <c:v>34.200000000000003</c:v>
                </c:pt>
                <c:pt idx="86">
                  <c:v>34.1</c:v>
                </c:pt>
                <c:pt idx="87">
                  <c:v>37.1</c:v>
                </c:pt>
                <c:pt idx="88">
                  <c:v>39.299999999999997</c:v>
                </c:pt>
                <c:pt idx="89">
                  <c:v>43.4</c:v>
                </c:pt>
                <c:pt idx="90">
                  <c:v>49.6</c:v>
                </c:pt>
                <c:pt idx="91">
                  <c:v>52</c:v>
                </c:pt>
                <c:pt idx="92">
                  <c:v>54.1</c:v>
                </c:pt>
                <c:pt idx="93">
                  <c:v>56.1</c:v>
                </c:pt>
                <c:pt idx="94">
                  <c:v>57.1</c:v>
                </c:pt>
                <c:pt idx="95">
                  <c:v>58.5</c:v>
                </c:pt>
                <c:pt idx="96">
                  <c:v>59.9</c:v>
                </c:pt>
                <c:pt idx="97">
                  <c:v>61.9</c:v>
                </c:pt>
                <c:pt idx="98">
                  <c:v>61.1</c:v>
                </c:pt>
                <c:pt idx="99">
                  <c:v>60.9</c:v>
                </c:pt>
                <c:pt idx="100">
                  <c:v>63.2</c:v>
                </c:pt>
                <c:pt idx="101">
                  <c:v>64.900000000000006</c:v>
                </c:pt>
                <c:pt idx="102">
                  <c:v>60.8</c:v>
                </c:pt>
                <c:pt idx="103">
                  <c:v>61.7</c:v>
                </c:pt>
                <c:pt idx="104">
                  <c:v>62</c:v>
                </c:pt>
                <c:pt idx="105">
                  <c:v>63.6</c:v>
                </c:pt>
                <c:pt idx="106">
                  <c:v>62.6</c:v>
                </c:pt>
                <c:pt idx="107">
                  <c:v>63.6</c:v>
                </c:pt>
                <c:pt idx="108">
                  <c:v>61.9</c:v>
                </c:pt>
                <c:pt idx="109">
                  <c:v>60.8</c:v>
                </c:pt>
                <c:pt idx="110">
                  <c:v>60.3</c:v>
                </c:pt>
                <c:pt idx="111">
                  <c:v>57.9</c:v>
                </c:pt>
                <c:pt idx="112">
                  <c:v>58.8</c:v>
                </c:pt>
                <c:pt idx="113">
                  <c:v>54.8</c:v>
                </c:pt>
                <c:pt idx="114">
                  <c:v>51.6</c:v>
                </c:pt>
                <c:pt idx="115">
                  <c:v>47.3</c:v>
                </c:pt>
                <c:pt idx="116">
                  <c:v>50.3</c:v>
                </c:pt>
                <c:pt idx="117">
                  <c:v>48.7</c:v>
                </c:pt>
                <c:pt idx="118">
                  <c:v>51.3</c:v>
                </c:pt>
                <c:pt idx="119">
                  <c:v>49.6</c:v>
                </c:pt>
                <c:pt idx="120">
                  <c:v>50.5</c:v>
                </c:pt>
                <c:pt idx="121">
                  <c:v>50.3</c:v>
                </c:pt>
                <c:pt idx="122">
                  <c:v>49.5</c:v>
                </c:pt>
                <c:pt idx="123">
                  <c:v>49.4</c:v>
                </c:pt>
                <c:pt idx="124">
                  <c:v>49.3</c:v>
                </c:pt>
                <c:pt idx="125">
                  <c:v>48.1</c:v>
                </c:pt>
                <c:pt idx="126">
                  <c:v>47.5</c:v>
                </c:pt>
                <c:pt idx="127">
                  <c:v>48.6</c:v>
                </c:pt>
                <c:pt idx="128">
                  <c:v>47</c:v>
                </c:pt>
                <c:pt idx="129">
                  <c:v>45.4</c:v>
                </c:pt>
                <c:pt idx="130">
                  <c:v>44.8</c:v>
                </c:pt>
                <c:pt idx="131">
                  <c:v>44.6</c:v>
                </c:pt>
                <c:pt idx="132">
                  <c:v>45.6</c:v>
                </c:pt>
                <c:pt idx="133">
                  <c:v>47.8</c:v>
                </c:pt>
                <c:pt idx="134">
                  <c:v>50.4</c:v>
                </c:pt>
                <c:pt idx="135">
                  <c:v>51.2</c:v>
                </c:pt>
                <c:pt idx="136">
                  <c:v>48.5</c:v>
                </c:pt>
                <c:pt idx="137">
                  <c:v>51.4</c:v>
                </c:pt>
                <c:pt idx="138">
                  <c:v>53.4</c:v>
                </c:pt>
                <c:pt idx="139">
                  <c:v>49.7</c:v>
                </c:pt>
                <c:pt idx="140">
                  <c:v>54.7</c:v>
                </c:pt>
                <c:pt idx="141">
                  <c:v>57</c:v>
                </c:pt>
                <c:pt idx="142">
                  <c:v>53.7</c:v>
                </c:pt>
                <c:pt idx="143">
                  <c:v>57</c:v>
                </c:pt>
                <c:pt idx="144">
                  <c:v>52.5</c:v>
                </c:pt>
                <c:pt idx="145">
                  <c:v>54.7</c:v>
                </c:pt>
                <c:pt idx="146">
                  <c:v>54.1</c:v>
                </c:pt>
                <c:pt idx="147">
                  <c:v>55.4</c:v>
                </c:pt>
                <c:pt idx="148">
                  <c:v>54.4</c:v>
                </c:pt>
                <c:pt idx="149">
                  <c:v>53.7</c:v>
                </c:pt>
                <c:pt idx="150">
                  <c:v>55</c:v>
                </c:pt>
                <c:pt idx="151">
                  <c:v>54</c:v>
                </c:pt>
                <c:pt idx="152">
                  <c:v>53.6</c:v>
                </c:pt>
                <c:pt idx="153">
                  <c:v>54.2</c:v>
                </c:pt>
                <c:pt idx="154">
                  <c:v>53.6</c:v>
                </c:pt>
                <c:pt idx="155">
                  <c:v>53.1</c:v>
                </c:pt>
                <c:pt idx="156">
                  <c:v>55.1</c:v>
                </c:pt>
                <c:pt idx="157">
                  <c:v>53.5</c:v>
                </c:pt>
                <c:pt idx="158">
                  <c:v>52.8</c:v>
                </c:pt>
                <c:pt idx="159">
                  <c:v>53</c:v>
                </c:pt>
                <c:pt idx="160">
                  <c:v>55</c:v>
                </c:pt>
                <c:pt idx="161">
                  <c:v>54.6</c:v>
                </c:pt>
                <c:pt idx="162">
                  <c:v>53.3</c:v>
                </c:pt>
                <c:pt idx="163">
                  <c:v>54.4</c:v>
                </c:pt>
                <c:pt idx="164">
                  <c:v>56.3</c:v>
                </c:pt>
                <c:pt idx="165">
                  <c:v>53.9</c:v>
                </c:pt>
                <c:pt idx="166">
                  <c:v>54.5</c:v>
                </c:pt>
                <c:pt idx="167">
                  <c:v>54.6</c:v>
                </c:pt>
                <c:pt idx="168">
                  <c:v>55.2</c:v>
                </c:pt>
                <c:pt idx="169">
                  <c:v>54.1</c:v>
                </c:pt>
                <c:pt idx="170">
                  <c:v>51.1</c:v>
                </c:pt>
                <c:pt idx="171">
                  <c:v>52.1</c:v>
                </c:pt>
                <c:pt idx="172">
                  <c:v>53.7</c:v>
                </c:pt>
                <c:pt idx="173">
                  <c:v>54</c:v>
                </c:pt>
                <c:pt idx="174">
                  <c:v>53.7</c:v>
                </c:pt>
                <c:pt idx="175">
                  <c:v>54.7</c:v>
                </c:pt>
                <c:pt idx="176">
                  <c:v>53.8</c:v>
                </c:pt>
                <c:pt idx="177">
                  <c:v>55.5</c:v>
                </c:pt>
                <c:pt idx="178">
                  <c:v>59.5</c:v>
                </c:pt>
                <c:pt idx="179">
                  <c:v>56.7</c:v>
                </c:pt>
                <c:pt idx="180">
                  <c:v>59.3</c:v>
                </c:pt>
                <c:pt idx="181">
                  <c:v>61.1</c:v>
                </c:pt>
                <c:pt idx="182">
                  <c:v>60</c:v>
                </c:pt>
                <c:pt idx="183">
                  <c:v>64.400000000000006</c:v>
                </c:pt>
                <c:pt idx="184">
                  <c:v>62.8</c:v>
                </c:pt>
                <c:pt idx="185">
                  <c:v>58.7</c:v>
                </c:pt>
                <c:pt idx="186">
                  <c:v>63.4</c:v>
                </c:pt>
                <c:pt idx="187">
                  <c:v>59.4</c:v>
                </c:pt>
                <c:pt idx="188">
                  <c:v>57.4</c:v>
                </c:pt>
                <c:pt idx="189">
                  <c:v>64.3</c:v>
                </c:pt>
                <c:pt idx="190">
                  <c:v>59.9</c:v>
                </c:pt>
                <c:pt idx="191">
                  <c:v>62.6</c:v>
                </c:pt>
                <c:pt idx="192">
                  <c:v>59.4</c:v>
                </c:pt>
                <c:pt idx="193">
                  <c:v>56</c:v>
                </c:pt>
                <c:pt idx="194">
                  <c:v>58.5</c:v>
                </c:pt>
                <c:pt idx="195">
                  <c:v>55.1</c:v>
                </c:pt>
                <c:pt idx="196">
                  <c:v>55</c:v>
                </c:pt>
                <c:pt idx="197">
                  <c:v>55.5</c:v>
                </c:pt>
                <c:pt idx="198">
                  <c:v>55.5</c:v>
                </c:pt>
                <c:pt idx="199">
                  <c:v>56.5</c:v>
                </c:pt>
                <c:pt idx="200">
                  <c:v>55</c:v>
                </c:pt>
                <c:pt idx="201">
                  <c:v>55.9</c:v>
                </c:pt>
                <c:pt idx="202">
                  <c:v>55.8</c:v>
                </c:pt>
                <c:pt idx="203">
                  <c:v>56.3</c:v>
                </c:pt>
                <c:pt idx="204">
                  <c:v>52</c:v>
                </c:pt>
                <c:pt idx="205">
                  <c:v>51.4</c:v>
                </c:pt>
                <c:pt idx="206">
                  <c:v>51.1</c:v>
                </c:pt>
                <c:pt idx="207">
                  <c:v>52.7</c:v>
                </c:pt>
                <c:pt idx="208">
                  <c:v>50.6</c:v>
                </c:pt>
                <c:pt idx="209">
                  <c:v>52.8</c:v>
                </c:pt>
                <c:pt idx="210">
                  <c:v>52.8</c:v>
                </c:pt>
                <c:pt idx="211">
                  <c:v>51.6</c:v>
                </c:pt>
                <c:pt idx="212">
                  <c:v>52.3</c:v>
                </c:pt>
                <c:pt idx="213">
                  <c:v>46.5</c:v>
                </c:pt>
                <c:pt idx="214">
                  <c:v>46.3</c:v>
                </c:pt>
                <c:pt idx="215">
                  <c:v>46.2</c:v>
                </c:pt>
                <c:pt idx="216">
                  <c:v>46.6</c:v>
                </c:pt>
                <c:pt idx="217">
                  <c:v>51</c:v>
                </c:pt>
                <c:pt idx="218">
                  <c:v>52.3</c:v>
                </c:pt>
                <c:pt idx="219">
                  <c:v>43.7</c:v>
                </c:pt>
                <c:pt idx="220">
                  <c:v>36</c:v>
                </c:pt>
                <c:pt idx="221">
                  <c:v>39.799999999999997</c:v>
                </c:pt>
                <c:pt idx="222">
                  <c:v>49.2</c:v>
                </c:pt>
                <c:pt idx="223">
                  <c:v>51.9</c:v>
                </c:pt>
                <c:pt idx="224">
                  <c:v>55.2</c:v>
                </c:pt>
                <c:pt idx="225">
                  <c:v>56.7</c:v>
                </c:pt>
                <c:pt idx="226">
                  <c:v>59.1</c:v>
                </c:pt>
                <c:pt idx="227">
                  <c:v>59.9</c:v>
                </c:pt>
                <c:pt idx="228">
                  <c:v>64.400000000000006</c:v>
                </c:pt>
                <c:pt idx="229">
                  <c:v>62</c:v>
                </c:pt>
                <c:pt idx="230">
                  <c:v>61.5</c:v>
                </c:pt>
                <c:pt idx="231">
                  <c:v>64.400000000000006</c:v>
                </c:pt>
                <c:pt idx="232">
                  <c:v>68.5</c:v>
                </c:pt>
                <c:pt idx="233">
                  <c:v>65.8</c:v>
                </c:pt>
                <c:pt idx="234">
                  <c:v>65.7</c:v>
                </c:pt>
                <c:pt idx="235">
                  <c:v>64.8</c:v>
                </c:pt>
                <c:pt idx="236">
                  <c:v>60.7</c:v>
                </c:pt>
                <c:pt idx="237">
                  <c:v>65.2</c:v>
                </c:pt>
                <c:pt idx="238">
                  <c:v>64.5</c:v>
                </c:pt>
                <c:pt idx="239">
                  <c:v>62.9</c:v>
                </c:pt>
                <c:pt idx="240">
                  <c:v>61.1</c:v>
                </c:pt>
                <c:pt idx="241">
                  <c:v>61.9</c:v>
                </c:pt>
                <c:pt idx="242">
                  <c:v>57.5</c:v>
                </c:pt>
                <c:pt idx="243">
                  <c:v>57</c:v>
                </c:pt>
                <c:pt idx="244">
                  <c:v>54.2</c:v>
                </c:pt>
                <c:pt idx="245">
                  <c:v>54.6</c:v>
                </c:pt>
                <c:pt idx="246">
                  <c:v>52.9</c:v>
                </c:pt>
                <c:pt idx="247">
                  <c:v>51.9</c:v>
                </c:pt>
                <c:pt idx="248">
                  <c:v>49.8</c:v>
                </c:pt>
                <c:pt idx="249">
                  <c:v>49.9</c:v>
                </c:pt>
                <c:pt idx="250">
                  <c:v>47.1</c:v>
                </c:pt>
                <c:pt idx="251">
                  <c:v>45.6</c:v>
                </c:pt>
                <c:pt idx="252">
                  <c:v>45.8</c:v>
                </c:pt>
                <c:pt idx="253">
                  <c:v>46.9</c:v>
                </c:pt>
                <c:pt idx="254">
                  <c:v>46.9</c:v>
                </c:pt>
                <c:pt idx="255">
                  <c:v>45.5</c:v>
                </c:pt>
                <c:pt idx="256">
                  <c:v>45.3</c:v>
                </c:pt>
                <c:pt idx="257">
                  <c:v>40.4</c:v>
                </c:pt>
                <c:pt idx="258">
                  <c:v>44.8</c:v>
                </c:pt>
                <c:pt idx="259">
                  <c:v>48.4</c:v>
                </c:pt>
                <c:pt idx="260">
                  <c:v>45.8</c:v>
                </c:pt>
                <c:pt idx="261">
                  <c:v>44.2</c:v>
                </c:pt>
                <c:pt idx="262">
                  <c:v>46.3</c:v>
                </c:pt>
                <c:pt idx="263">
                  <c:v>48.9</c:v>
                </c:pt>
                <c:pt idx="264">
                  <c:v>49</c:v>
                </c:pt>
                <c:pt idx="265">
                  <c:v>47.4</c:v>
                </c:pt>
                <c:pt idx="266">
                  <c:v>49.3</c:v>
                </c:pt>
                <c:pt idx="267">
                  <c:v>50.2</c:v>
                </c:pt>
                <c:pt idx="268">
                  <c:v>51.3</c:v>
                </c:pt>
                <c:pt idx="269">
                  <c:v>54.2</c:v>
                </c:pt>
                <c:pt idx="270">
                  <c:v>53.3</c:v>
                </c:pt>
                <c:pt idx="271">
                  <c:v>49.5</c:v>
                </c:pt>
                <c:pt idx="272">
                  <c:v>52.6</c:v>
                </c:pt>
                <c:pt idx="273">
                  <c:v>51.4</c:v>
                </c:pt>
                <c:pt idx="274">
                  <c:v>53</c:v>
                </c:pt>
                <c:pt idx="275">
                  <c:v>53.8</c:v>
                </c:pt>
                <c:pt idx="276">
                  <c:v>52.4</c:v>
                </c:pt>
                <c:pt idx="277">
                  <c:v>53.1</c:v>
                </c:pt>
                <c:pt idx="278">
                  <c:v>53.4</c:v>
                </c:pt>
                <c:pt idx="279">
                  <c:v>53.8</c:v>
                </c:pt>
                <c:pt idx="280">
                  <c:v>54.1</c:v>
                </c:pt>
                <c:pt idx="281">
                  <c:v>53.6</c:v>
                </c:pt>
                <c:pt idx="282">
                  <c:v>51.9</c:v>
                </c:pt>
                <c:pt idx="283">
                  <c:v>54.6</c:v>
                </c:pt>
                <c:pt idx="284">
                  <c:v>55.3</c:v>
                </c:pt>
                <c:pt idx="285">
                  <c:v>55.6</c:v>
                </c:pt>
                <c:pt idx="286">
                  <c:v>55.1</c:v>
                </c:pt>
                <c:pt idx="287">
                  <c:v>54.8</c:v>
                </c:pt>
                <c:pt idx="288">
                  <c:v>55.4</c:v>
                </c:pt>
                <c:pt idx="28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A0-45C8-9F5E-720D777D7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22144"/>
        <c:axId val="122020608"/>
      </c:lineChart>
      <c:dateAx>
        <c:axId val="12195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1961472"/>
        <c:crosses val="autoZero"/>
        <c:auto val="1"/>
        <c:lblOffset val="100"/>
        <c:baseTimeUnit val="months"/>
      </c:dateAx>
      <c:valAx>
        <c:axId val="12196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_);\(&quot;k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1959936"/>
        <c:crosses val="autoZero"/>
        <c:crossBetween val="between"/>
      </c:valAx>
      <c:valAx>
        <c:axId val="122020608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2022144"/>
        <c:crosses val="max"/>
        <c:crossBetween val="between"/>
      </c:valAx>
      <c:dateAx>
        <c:axId val="12202214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122020608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390219079757959"/>
          <c:y val="6.3202507114548584E-2"/>
          <c:w val="0.64259048929563412"/>
          <c:h val="0.688790148459826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Data!$P$6</c:f>
              <c:strCache>
                <c:ptCount val="1"/>
                <c:pt idx="0">
                  <c:v>Turnover</c:v>
                </c:pt>
              </c:strCache>
            </c:strRef>
          </c:tx>
          <c:invertIfNegative val="0"/>
          <c:cat>
            <c:strRef>
              <c:f>Data!$N$7:$N$17</c:f>
              <c:strCache>
                <c:ptCount val="1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2011+Expected</c:v>
                </c:pt>
              </c:strCache>
            </c:strRef>
          </c:cat>
          <c:val>
            <c:numRef>
              <c:f>Data!$O$7:$O$17</c:f>
              <c:numCache>
                <c:formatCode>"kr"#,##0_);\("kr"#,##0\)</c:formatCode>
                <c:ptCount val="11"/>
                <c:pt idx="0">
                  <c:v>2233619.5796460179</c:v>
                </c:pt>
                <c:pt idx="1">
                  <c:v>2417748.672566372</c:v>
                </c:pt>
                <c:pt idx="2">
                  <c:v>2873507.7433628323</c:v>
                </c:pt>
                <c:pt idx="3">
                  <c:v>3450643.1415929208</c:v>
                </c:pt>
                <c:pt idx="4">
                  <c:v>3953271.9081858406</c:v>
                </c:pt>
                <c:pt idx="5">
                  <c:v>3911827.7356194691</c:v>
                </c:pt>
                <c:pt idx="6">
                  <c:v>4971168.0553097352</c:v>
                </c:pt>
                <c:pt idx="7">
                  <c:v>5661805.5309734521</c:v>
                </c:pt>
                <c:pt idx="8">
                  <c:v>3074245.353982301</c:v>
                </c:pt>
                <c:pt idx="9">
                  <c:v>3971483.5176991154</c:v>
                </c:pt>
                <c:pt idx="10">
                  <c:v>1728714.8230088498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7-4EA6-A738-D0AE0CEDD1BF}"/>
            </c:ext>
          </c:extLst>
        </c:ser>
        <c:ser>
          <c:idx val="1"/>
          <c:order val="1"/>
          <c:tx>
            <c:strRef>
              <c:f>Data!$Q$6</c:f>
              <c:strCache>
                <c:ptCount val="1"/>
                <c:pt idx="0">
                  <c:v>Expected 2011</c:v>
                </c:pt>
              </c:strCache>
            </c:strRef>
          </c:tx>
          <c:invertIfNegative val="0"/>
          <c:cat>
            <c:strRef>
              <c:f>Data!$N$7:$N$17</c:f>
              <c:strCache>
                <c:ptCount val="1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2011+Expected</c:v>
                </c:pt>
              </c:strCache>
            </c:strRef>
          </c:cat>
          <c:val>
            <c:numRef>
              <c:f>Data!$Q$7:$Q$17</c:f>
              <c:numCache>
                <c:formatCode>General</c:formatCode>
                <c:ptCount val="11"/>
                <c:pt idx="10" formatCode="_-* #\ ##0\ _k_r_-;\-* #\ ##0\ _k_r_-;_-* &quot;-&quot;??\ _k_r_-;_-@_-">
                  <c:v>3802258.6283185845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A7-4EA6-A738-D0AE0CEDD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541952"/>
        <c:axId val="122543488"/>
      </c:barChart>
      <c:catAx>
        <c:axId val="122541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2543488"/>
        <c:crosses val="autoZero"/>
        <c:auto val="1"/>
        <c:lblAlgn val="ctr"/>
        <c:lblOffset val="100"/>
        <c:noMultiLvlLbl val="0"/>
      </c:catAx>
      <c:valAx>
        <c:axId val="122543488"/>
        <c:scaling>
          <c:orientation val="minMax"/>
        </c:scaling>
        <c:delete val="0"/>
        <c:axPos val="l"/>
        <c:majorGridlines/>
        <c:numFmt formatCode="&quot;kr&quot;#,##0_);\(&quot;kr&quot;#,##0\)" sourceLinked="1"/>
        <c:majorTickMark val="out"/>
        <c:minorTickMark val="none"/>
        <c:tickLblPos val="nextTo"/>
        <c:crossAx val="122541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Data!$T$6</c:f>
              <c:strCache>
                <c:ptCount val="1"/>
                <c:pt idx="0">
                  <c:v>Bookings</c:v>
                </c:pt>
              </c:strCache>
            </c:strRef>
          </c:tx>
          <c:invertIfNegative val="0"/>
          <c:cat>
            <c:strRef>
              <c:f>Data!$R$7:$R$17</c:f>
              <c:strCache>
                <c:ptCount val="1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2011+Expected</c:v>
                </c:pt>
              </c:strCache>
            </c:strRef>
          </c:cat>
          <c:val>
            <c:numRef>
              <c:f>Data!$S$7:$S$17</c:f>
              <c:numCache>
                <c:formatCode>#,##0</c:formatCode>
                <c:ptCount val="11"/>
                <c:pt idx="0">
                  <c:v>2308500.8849557526</c:v>
                </c:pt>
                <c:pt idx="1">
                  <c:v>2506758.0752212391</c:v>
                </c:pt>
                <c:pt idx="2">
                  <c:v>2722185.8407079647</c:v>
                </c:pt>
                <c:pt idx="3">
                  <c:v>3628049.336283186</c:v>
                </c:pt>
                <c:pt idx="4">
                  <c:v>3956545.3384955754</c:v>
                </c:pt>
                <c:pt idx="5">
                  <c:v>4340942.3738938058</c:v>
                </c:pt>
                <c:pt idx="6">
                  <c:v>5179037.6393805323</c:v>
                </c:pt>
                <c:pt idx="7">
                  <c:v>5421043.0309734521</c:v>
                </c:pt>
                <c:pt idx="8">
                  <c:v>2887115.2654867261</c:v>
                </c:pt>
                <c:pt idx="9">
                  <c:v>4158101.991150443</c:v>
                </c:pt>
                <c:pt idx="10">
                  <c:v>1929104.0929203541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A-4206-BD88-475B17C81EDA}"/>
            </c:ext>
          </c:extLst>
        </c:ser>
        <c:ser>
          <c:idx val="1"/>
          <c:order val="1"/>
          <c:tx>
            <c:strRef>
              <c:f>Data!$U$6</c:f>
              <c:strCache>
                <c:ptCount val="1"/>
                <c:pt idx="0">
                  <c:v>Expected 2011</c:v>
                </c:pt>
              </c:strCache>
            </c:strRef>
          </c:tx>
          <c:invertIfNegative val="0"/>
          <c:cat>
            <c:strRef>
              <c:f>Data!$R$7:$R$17</c:f>
              <c:strCache>
                <c:ptCount val="1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2011+Expected</c:v>
                </c:pt>
              </c:strCache>
            </c:strRef>
          </c:cat>
          <c:val>
            <c:numRef>
              <c:f>Data!$U$7:$U$17</c:f>
              <c:numCache>
                <c:formatCode>General</c:formatCode>
                <c:ptCount val="11"/>
                <c:pt idx="10" formatCode="_-* #\ ##0\ _k_r_-;\-* #\ ##0\ _k_r_-;_-* &quot;-&quot;??\ _k_r_-;_-@_-">
                  <c:v>3823108.2964601773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A-4206-BD88-475B17C81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425984"/>
        <c:axId val="134427776"/>
      </c:barChart>
      <c:catAx>
        <c:axId val="134425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4427776"/>
        <c:crosses val="autoZero"/>
        <c:auto val="1"/>
        <c:lblAlgn val="ctr"/>
        <c:lblOffset val="100"/>
        <c:noMultiLvlLbl val="0"/>
      </c:catAx>
      <c:valAx>
        <c:axId val="1344277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34425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Rolling 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Data!$B$6</c:f>
              <c:strCache>
                <c:ptCount val="1"/>
                <c:pt idx="0">
                  <c:v>12_Month Roll_Sales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Data!$A$18:$A$292</c:f>
              <c:numCache>
                <c:formatCode>mmm\-yy</c:formatCode>
                <c:ptCount val="275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  <c:pt idx="12">
                  <c:v>37591</c:v>
                </c:pt>
                <c:pt idx="13">
                  <c:v>37622</c:v>
                </c:pt>
                <c:pt idx="14">
                  <c:v>37653</c:v>
                </c:pt>
                <c:pt idx="15">
                  <c:v>37681</c:v>
                </c:pt>
                <c:pt idx="16">
                  <c:v>37712</c:v>
                </c:pt>
                <c:pt idx="17">
                  <c:v>37742</c:v>
                </c:pt>
                <c:pt idx="18">
                  <c:v>37773</c:v>
                </c:pt>
                <c:pt idx="19">
                  <c:v>37803</c:v>
                </c:pt>
                <c:pt idx="20">
                  <c:v>37834</c:v>
                </c:pt>
                <c:pt idx="21">
                  <c:v>37865</c:v>
                </c:pt>
                <c:pt idx="22">
                  <c:v>37895</c:v>
                </c:pt>
                <c:pt idx="23">
                  <c:v>37926</c:v>
                </c:pt>
                <c:pt idx="24">
                  <c:v>37956</c:v>
                </c:pt>
                <c:pt idx="25">
                  <c:v>37987</c:v>
                </c:pt>
                <c:pt idx="26">
                  <c:v>38018</c:v>
                </c:pt>
                <c:pt idx="27">
                  <c:v>38047</c:v>
                </c:pt>
                <c:pt idx="28">
                  <c:v>38078</c:v>
                </c:pt>
                <c:pt idx="29">
                  <c:v>38108</c:v>
                </c:pt>
                <c:pt idx="30">
                  <c:v>38139</c:v>
                </c:pt>
                <c:pt idx="31">
                  <c:v>38169</c:v>
                </c:pt>
                <c:pt idx="32">
                  <c:v>38200</c:v>
                </c:pt>
                <c:pt idx="33">
                  <c:v>38231</c:v>
                </c:pt>
                <c:pt idx="34">
                  <c:v>38261</c:v>
                </c:pt>
                <c:pt idx="35">
                  <c:v>38292</c:v>
                </c:pt>
                <c:pt idx="36">
                  <c:v>38322</c:v>
                </c:pt>
                <c:pt idx="37">
                  <c:v>38353</c:v>
                </c:pt>
                <c:pt idx="38">
                  <c:v>38384</c:v>
                </c:pt>
                <c:pt idx="39">
                  <c:v>38412</c:v>
                </c:pt>
                <c:pt idx="40">
                  <c:v>38443</c:v>
                </c:pt>
                <c:pt idx="41">
                  <c:v>38473</c:v>
                </c:pt>
                <c:pt idx="42">
                  <c:v>38504</c:v>
                </c:pt>
                <c:pt idx="43">
                  <c:v>38534</c:v>
                </c:pt>
                <c:pt idx="44">
                  <c:v>38565</c:v>
                </c:pt>
                <c:pt idx="45">
                  <c:v>38596</c:v>
                </c:pt>
                <c:pt idx="46">
                  <c:v>38626</c:v>
                </c:pt>
                <c:pt idx="47">
                  <c:v>38657</c:v>
                </c:pt>
                <c:pt idx="48">
                  <c:v>38687</c:v>
                </c:pt>
                <c:pt idx="49">
                  <c:v>38718</c:v>
                </c:pt>
                <c:pt idx="50">
                  <c:v>38749</c:v>
                </c:pt>
                <c:pt idx="51">
                  <c:v>38777</c:v>
                </c:pt>
                <c:pt idx="52">
                  <c:v>38808</c:v>
                </c:pt>
                <c:pt idx="53">
                  <c:v>38838</c:v>
                </c:pt>
                <c:pt idx="54">
                  <c:v>38869</c:v>
                </c:pt>
                <c:pt idx="55">
                  <c:v>38899</c:v>
                </c:pt>
                <c:pt idx="56">
                  <c:v>38930</c:v>
                </c:pt>
                <c:pt idx="57">
                  <c:v>38961</c:v>
                </c:pt>
                <c:pt idx="58">
                  <c:v>38991</c:v>
                </c:pt>
                <c:pt idx="59">
                  <c:v>39022</c:v>
                </c:pt>
                <c:pt idx="60">
                  <c:v>39052</c:v>
                </c:pt>
                <c:pt idx="61">
                  <c:v>39083</c:v>
                </c:pt>
                <c:pt idx="62">
                  <c:v>39114</c:v>
                </c:pt>
                <c:pt idx="63">
                  <c:v>39142</c:v>
                </c:pt>
                <c:pt idx="64">
                  <c:v>39173</c:v>
                </c:pt>
                <c:pt idx="65">
                  <c:v>39203</c:v>
                </c:pt>
                <c:pt idx="66">
                  <c:v>39234</c:v>
                </c:pt>
                <c:pt idx="67">
                  <c:v>39264</c:v>
                </c:pt>
                <c:pt idx="68">
                  <c:v>39295</c:v>
                </c:pt>
                <c:pt idx="69">
                  <c:v>39326</c:v>
                </c:pt>
                <c:pt idx="70">
                  <c:v>39356</c:v>
                </c:pt>
                <c:pt idx="71">
                  <c:v>39387</c:v>
                </c:pt>
                <c:pt idx="72">
                  <c:v>39417</c:v>
                </c:pt>
                <c:pt idx="73">
                  <c:v>39448</c:v>
                </c:pt>
                <c:pt idx="74">
                  <c:v>39479</c:v>
                </c:pt>
                <c:pt idx="75">
                  <c:v>39508</c:v>
                </c:pt>
                <c:pt idx="76">
                  <c:v>39539</c:v>
                </c:pt>
                <c:pt idx="77">
                  <c:v>39569</c:v>
                </c:pt>
                <c:pt idx="78">
                  <c:v>39600</c:v>
                </c:pt>
                <c:pt idx="79">
                  <c:v>39630</c:v>
                </c:pt>
                <c:pt idx="80">
                  <c:v>39661</c:v>
                </c:pt>
                <c:pt idx="81">
                  <c:v>39692</c:v>
                </c:pt>
                <c:pt idx="82">
                  <c:v>39722</c:v>
                </c:pt>
                <c:pt idx="83">
                  <c:v>39753</c:v>
                </c:pt>
                <c:pt idx="84">
                  <c:v>39783</c:v>
                </c:pt>
                <c:pt idx="85">
                  <c:v>39814</c:v>
                </c:pt>
                <c:pt idx="86">
                  <c:v>39845</c:v>
                </c:pt>
                <c:pt idx="87">
                  <c:v>39873</c:v>
                </c:pt>
                <c:pt idx="88">
                  <c:v>39904</c:v>
                </c:pt>
                <c:pt idx="89">
                  <c:v>39934</c:v>
                </c:pt>
                <c:pt idx="90">
                  <c:v>39965</c:v>
                </c:pt>
                <c:pt idx="91">
                  <c:v>39995</c:v>
                </c:pt>
                <c:pt idx="92">
                  <c:v>40026</c:v>
                </c:pt>
                <c:pt idx="93">
                  <c:v>40057</c:v>
                </c:pt>
                <c:pt idx="94">
                  <c:v>40087</c:v>
                </c:pt>
                <c:pt idx="95">
                  <c:v>40118</c:v>
                </c:pt>
                <c:pt idx="96">
                  <c:v>40148</c:v>
                </c:pt>
                <c:pt idx="97">
                  <c:v>40179</c:v>
                </c:pt>
                <c:pt idx="98">
                  <c:v>40210</c:v>
                </c:pt>
                <c:pt idx="99">
                  <c:v>40238</c:v>
                </c:pt>
                <c:pt idx="100">
                  <c:v>40269</c:v>
                </c:pt>
                <c:pt idx="101">
                  <c:v>40299</c:v>
                </c:pt>
                <c:pt idx="102">
                  <c:v>40330</c:v>
                </c:pt>
                <c:pt idx="103">
                  <c:v>40360</c:v>
                </c:pt>
                <c:pt idx="104">
                  <c:v>40391</c:v>
                </c:pt>
                <c:pt idx="105">
                  <c:v>40422</c:v>
                </c:pt>
                <c:pt idx="106">
                  <c:v>40452</c:v>
                </c:pt>
                <c:pt idx="107">
                  <c:v>40483</c:v>
                </c:pt>
                <c:pt idx="108">
                  <c:v>40513</c:v>
                </c:pt>
                <c:pt idx="109">
                  <c:v>40544</c:v>
                </c:pt>
                <c:pt idx="110">
                  <c:v>40575</c:v>
                </c:pt>
                <c:pt idx="111">
                  <c:v>40603</c:v>
                </c:pt>
                <c:pt idx="112">
                  <c:v>40634</c:v>
                </c:pt>
                <c:pt idx="113">
                  <c:v>40664</c:v>
                </c:pt>
                <c:pt idx="114">
                  <c:v>40695</c:v>
                </c:pt>
                <c:pt idx="115">
                  <c:v>40725</c:v>
                </c:pt>
                <c:pt idx="116">
                  <c:v>40756</c:v>
                </c:pt>
                <c:pt idx="117">
                  <c:v>40787</c:v>
                </c:pt>
                <c:pt idx="118">
                  <c:v>40817</c:v>
                </c:pt>
                <c:pt idx="119">
                  <c:v>40848</c:v>
                </c:pt>
                <c:pt idx="120">
                  <c:v>40878</c:v>
                </c:pt>
                <c:pt idx="121">
                  <c:v>40909</c:v>
                </c:pt>
                <c:pt idx="122">
                  <c:v>40940</c:v>
                </c:pt>
                <c:pt idx="123">
                  <c:v>40969</c:v>
                </c:pt>
                <c:pt idx="124">
                  <c:v>41000</c:v>
                </c:pt>
                <c:pt idx="125">
                  <c:v>41030</c:v>
                </c:pt>
                <c:pt idx="126">
                  <c:v>41061</c:v>
                </c:pt>
                <c:pt idx="127">
                  <c:v>41091</c:v>
                </c:pt>
                <c:pt idx="128">
                  <c:v>41122</c:v>
                </c:pt>
                <c:pt idx="129">
                  <c:v>41153</c:v>
                </c:pt>
                <c:pt idx="130">
                  <c:v>41183</c:v>
                </c:pt>
                <c:pt idx="131">
                  <c:v>41214</c:v>
                </c:pt>
                <c:pt idx="132">
                  <c:v>41244</c:v>
                </c:pt>
                <c:pt idx="133">
                  <c:v>41275</c:v>
                </c:pt>
                <c:pt idx="134">
                  <c:v>41306</c:v>
                </c:pt>
                <c:pt idx="135">
                  <c:v>41334</c:v>
                </c:pt>
                <c:pt idx="136">
                  <c:v>41365</c:v>
                </c:pt>
                <c:pt idx="137">
                  <c:v>41395</c:v>
                </c:pt>
                <c:pt idx="138">
                  <c:v>41426</c:v>
                </c:pt>
                <c:pt idx="139">
                  <c:v>41456</c:v>
                </c:pt>
                <c:pt idx="140">
                  <c:v>41487</c:v>
                </c:pt>
                <c:pt idx="141">
                  <c:v>41518</c:v>
                </c:pt>
                <c:pt idx="142">
                  <c:v>41548</c:v>
                </c:pt>
                <c:pt idx="143">
                  <c:v>41579</c:v>
                </c:pt>
                <c:pt idx="144">
                  <c:v>41609</c:v>
                </c:pt>
                <c:pt idx="145">
                  <c:v>41640</c:v>
                </c:pt>
                <c:pt idx="146">
                  <c:v>41671</c:v>
                </c:pt>
                <c:pt idx="147">
                  <c:v>41699</c:v>
                </c:pt>
                <c:pt idx="148">
                  <c:v>41730</c:v>
                </c:pt>
                <c:pt idx="149">
                  <c:v>41760</c:v>
                </c:pt>
                <c:pt idx="150">
                  <c:v>41791</c:v>
                </c:pt>
                <c:pt idx="151">
                  <c:v>41821</c:v>
                </c:pt>
                <c:pt idx="152">
                  <c:v>41852</c:v>
                </c:pt>
                <c:pt idx="153">
                  <c:v>41883</c:v>
                </c:pt>
                <c:pt idx="154">
                  <c:v>41913</c:v>
                </c:pt>
                <c:pt idx="155">
                  <c:v>41944</c:v>
                </c:pt>
                <c:pt idx="156">
                  <c:v>41974</c:v>
                </c:pt>
                <c:pt idx="157">
                  <c:v>42005</c:v>
                </c:pt>
                <c:pt idx="158">
                  <c:v>42036</c:v>
                </c:pt>
                <c:pt idx="159">
                  <c:v>42064</c:v>
                </c:pt>
                <c:pt idx="160">
                  <c:v>42095</c:v>
                </c:pt>
                <c:pt idx="161">
                  <c:v>42125</c:v>
                </c:pt>
                <c:pt idx="162">
                  <c:v>42156</c:v>
                </c:pt>
                <c:pt idx="163">
                  <c:v>42186</c:v>
                </c:pt>
                <c:pt idx="164">
                  <c:v>42217</c:v>
                </c:pt>
                <c:pt idx="165">
                  <c:v>42248</c:v>
                </c:pt>
                <c:pt idx="166">
                  <c:v>42278</c:v>
                </c:pt>
                <c:pt idx="167">
                  <c:v>42309</c:v>
                </c:pt>
                <c:pt idx="168">
                  <c:v>42339</c:v>
                </c:pt>
                <c:pt idx="169">
                  <c:v>42370</c:v>
                </c:pt>
                <c:pt idx="170">
                  <c:v>42401</c:v>
                </c:pt>
                <c:pt idx="171">
                  <c:v>42430</c:v>
                </c:pt>
                <c:pt idx="172">
                  <c:v>42461</c:v>
                </c:pt>
                <c:pt idx="173">
                  <c:v>42491</c:v>
                </c:pt>
                <c:pt idx="174">
                  <c:v>42522</c:v>
                </c:pt>
                <c:pt idx="175">
                  <c:v>42552</c:v>
                </c:pt>
                <c:pt idx="176">
                  <c:v>42583</c:v>
                </c:pt>
                <c:pt idx="177">
                  <c:v>42614</c:v>
                </c:pt>
                <c:pt idx="178">
                  <c:v>42644</c:v>
                </c:pt>
                <c:pt idx="179">
                  <c:v>42675</c:v>
                </c:pt>
                <c:pt idx="180">
                  <c:v>42705</c:v>
                </c:pt>
                <c:pt idx="181">
                  <c:v>42736</c:v>
                </c:pt>
                <c:pt idx="182">
                  <c:v>42767</c:v>
                </c:pt>
                <c:pt idx="183">
                  <c:v>42795</c:v>
                </c:pt>
                <c:pt idx="184">
                  <c:v>42826</c:v>
                </c:pt>
                <c:pt idx="185">
                  <c:v>42856</c:v>
                </c:pt>
                <c:pt idx="186">
                  <c:v>42887</c:v>
                </c:pt>
                <c:pt idx="187">
                  <c:v>42917</c:v>
                </c:pt>
                <c:pt idx="188">
                  <c:v>42948</c:v>
                </c:pt>
                <c:pt idx="189">
                  <c:v>42979</c:v>
                </c:pt>
                <c:pt idx="190">
                  <c:v>43009</c:v>
                </c:pt>
                <c:pt idx="191">
                  <c:v>43040</c:v>
                </c:pt>
                <c:pt idx="192">
                  <c:v>43070</c:v>
                </c:pt>
                <c:pt idx="193">
                  <c:v>43101</c:v>
                </c:pt>
                <c:pt idx="194">
                  <c:v>43132</c:v>
                </c:pt>
                <c:pt idx="195">
                  <c:v>43160</c:v>
                </c:pt>
                <c:pt idx="196">
                  <c:v>43191</c:v>
                </c:pt>
                <c:pt idx="197">
                  <c:v>43221</c:v>
                </c:pt>
                <c:pt idx="198">
                  <c:v>43252</c:v>
                </c:pt>
                <c:pt idx="199">
                  <c:v>43282</c:v>
                </c:pt>
                <c:pt idx="200">
                  <c:v>43313</c:v>
                </c:pt>
                <c:pt idx="201">
                  <c:v>43344</c:v>
                </c:pt>
                <c:pt idx="202">
                  <c:v>43374</c:v>
                </c:pt>
                <c:pt idx="203">
                  <c:v>43405</c:v>
                </c:pt>
                <c:pt idx="204">
                  <c:v>43435</c:v>
                </c:pt>
                <c:pt idx="205">
                  <c:v>43466</c:v>
                </c:pt>
                <c:pt idx="206">
                  <c:v>43497</c:v>
                </c:pt>
                <c:pt idx="207">
                  <c:v>43525</c:v>
                </c:pt>
                <c:pt idx="208">
                  <c:v>43556</c:v>
                </c:pt>
                <c:pt idx="209">
                  <c:v>43586</c:v>
                </c:pt>
                <c:pt idx="210">
                  <c:v>43617</c:v>
                </c:pt>
                <c:pt idx="211">
                  <c:v>43647</c:v>
                </c:pt>
                <c:pt idx="212">
                  <c:v>43678</c:v>
                </c:pt>
                <c:pt idx="213">
                  <c:v>43709</c:v>
                </c:pt>
                <c:pt idx="214">
                  <c:v>43739</c:v>
                </c:pt>
                <c:pt idx="215">
                  <c:v>43770</c:v>
                </c:pt>
                <c:pt idx="216">
                  <c:v>43800</c:v>
                </c:pt>
                <c:pt idx="217">
                  <c:v>43831</c:v>
                </c:pt>
                <c:pt idx="218">
                  <c:v>43862</c:v>
                </c:pt>
                <c:pt idx="219">
                  <c:v>43891</c:v>
                </c:pt>
                <c:pt idx="220">
                  <c:v>43922</c:v>
                </c:pt>
                <c:pt idx="221">
                  <c:v>43952</c:v>
                </c:pt>
                <c:pt idx="222">
                  <c:v>43983</c:v>
                </c:pt>
                <c:pt idx="223">
                  <c:v>44013</c:v>
                </c:pt>
                <c:pt idx="224">
                  <c:v>44044</c:v>
                </c:pt>
                <c:pt idx="225">
                  <c:v>44075</c:v>
                </c:pt>
                <c:pt idx="226">
                  <c:v>44105</c:v>
                </c:pt>
                <c:pt idx="227">
                  <c:v>44136</c:v>
                </c:pt>
                <c:pt idx="228">
                  <c:v>44166</c:v>
                </c:pt>
                <c:pt idx="229">
                  <c:v>44197</c:v>
                </c:pt>
                <c:pt idx="230">
                  <c:v>44228</c:v>
                </c:pt>
                <c:pt idx="231">
                  <c:v>44256</c:v>
                </c:pt>
                <c:pt idx="232">
                  <c:v>44287</c:v>
                </c:pt>
                <c:pt idx="233">
                  <c:v>44317</c:v>
                </c:pt>
                <c:pt idx="234">
                  <c:v>44348</c:v>
                </c:pt>
                <c:pt idx="235">
                  <c:v>44378</c:v>
                </c:pt>
                <c:pt idx="236">
                  <c:v>44409</c:v>
                </c:pt>
                <c:pt idx="237">
                  <c:v>44440</c:v>
                </c:pt>
                <c:pt idx="238">
                  <c:v>44470</c:v>
                </c:pt>
                <c:pt idx="239">
                  <c:v>44501</c:v>
                </c:pt>
                <c:pt idx="240">
                  <c:v>44531</c:v>
                </c:pt>
                <c:pt idx="241">
                  <c:v>44562</c:v>
                </c:pt>
                <c:pt idx="242">
                  <c:v>44593</c:v>
                </c:pt>
                <c:pt idx="243">
                  <c:v>44621</c:v>
                </c:pt>
                <c:pt idx="244">
                  <c:v>44652</c:v>
                </c:pt>
                <c:pt idx="245">
                  <c:v>44682</c:v>
                </c:pt>
                <c:pt idx="246">
                  <c:v>44713</c:v>
                </c:pt>
                <c:pt idx="247">
                  <c:v>44743</c:v>
                </c:pt>
                <c:pt idx="248">
                  <c:v>44774</c:v>
                </c:pt>
                <c:pt idx="249">
                  <c:v>44805</c:v>
                </c:pt>
                <c:pt idx="250">
                  <c:v>44835</c:v>
                </c:pt>
                <c:pt idx="251">
                  <c:v>44866</c:v>
                </c:pt>
                <c:pt idx="252">
                  <c:v>44896</c:v>
                </c:pt>
                <c:pt idx="253">
                  <c:v>44927</c:v>
                </c:pt>
                <c:pt idx="254">
                  <c:v>44958</c:v>
                </c:pt>
                <c:pt idx="255">
                  <c:v>44986</c:v>
                </c:pt>
                <c:pt idx="256">
                  <c:v>45017</c:v>
                </c:pt>
                <c:pt idx="257">
                  <c:v>45047</c:v>
                </c:pt>
                <c:pt idx="258">
                  <c:v>45078</c:v>
                </c:pt>
                <c:pt idx="259">
                  <c:v>45108</c:v>
                </c:pt>
                <c:pt idx="260">
                  <c:v>45139</c:v>
                </c:pt>
                <c:pt idx="261">
                  <c:v>45170</c:v>
                </c:pt>
                <c:pt idx="262">
                  <c:v>45200</c:v>
                </c:pt>
                <c:pt idx="263">
                  <c:v>45231</c:v>
                </c:pt>
                <c:pt idx="264">
                  <c:v>45261</c:v>
                </c:pt>
                <c:pt idx="265">
                  <c:v>45292</c:v>
                </c:pt>
                <c:pt idx="266">
                  <c:v>45323</c:v>
                </c:pt>
                <c:pt idx="267">
                  <c:v>45352</c:v>
                </c:pt>
                <c:pt idx="268">
                  <c:v>45383</c:v>
                </c:pt>
                <c:pt idx="269">
                  <c:v>45413</c:v>
                </c:pt>
                <c:pt idx="270">
                  <c:v>45444</c:v>
                </c:pt>
                <c:pt idx="271">
                  <c:v>45474</c:v>
                </c:pt>
                <c:pt idx="272">
                  <c:v>45505</c:v>
                </c:pt>
                <c:pt idx="273">
                  <c:v>45536</c:v>
                </c:pt>
                <c:pt idx="274">
                  <c:v>45566</c:v>
                </c:pt>
              </c:numCache>
            </c:numRef>
          </c:cat>
          <c:val>
            <c:numRef>
              <c:f>Data!$B$18:$B$292</c:f>
              <c:numCache>
                <c:formatCode>"kr"#,##0_);\("kr"#,##0\)</c:formatCode>
                <c:ptCount val="275"/>
                <c:pt idx="0">
                  <c:v>20191921</c:v>
                </c:pt>
                <c:pt idx="1">
                  <c:v>20208334</c:v>
                </c:pt>
                <c:pt idx="2">
                  <c:v>20193144</c:v>
                </c:pt>
                <c:pt idx="3">
                  <c:v>19652948</c:v>
                </c:pt>
                <c:pt idx="4">
                  <c:v>20375859</c:v>
                </c:pt>
                <c:pt idx="5">
                  <c:v>20167143</c:v>
                </c:pt>
                <c:pt idx="6">
                  <c:v>21296952</c:v>
                </c:pt>
                <c:pt idx="7">
                  <c:v>22092087</c:v>
                </c:pt>
                <c:pt idx="8">
                  <c:v>21510344</c:v>
                </c:pt>
                <c:pt idx="9">
                  <c:v>21638335</c:v>
                </c:pt>
                <c:pt idx="10">
                  <c:v>21638636</c:v>
                </c:pt>
                <c:pt idx="11">
                  <c:v>21326903</c:v>
                </c:pt>
                <c:pt idx="12">
                  <c:v>21856448</c:v>
                </c:pt>
                <c:pt idx="13">
                  <c:v>22208626</c:v>
                </c:pt>
                <c:pt idx="14">
                  <c:v>23022531</c:v>
                </c:pt>
                <c:pt idx="15">
                  <c:v>23988602</c:v>
                </c:pt>
                <c:pt idx="16">
                  <c:v>23777990</c:v>
                </c:pt>
                <c:pt idx="17">
                  <c:v>24363461</c:v>
                </c:pt>
                <c:pt idx="18">
                  <c:v>23155002</c:v>
                </c:pt>
                <c:pt idx="19">
                  <c:v>23780614</c:v>
                </c:pt>
                <c:pt idx="20">
                  <c:v>24774557</c:v>
                </c:pt>
                <c:pt idx="21">
                  <c:v>25601894</c:v>
                </c:pt>
                <c:pt idx="22">
                  <c:v>25273956</c:v>
                </c:pt>
                <c:pt idx="23">
                  <c:v>25821898</c:v>
                </c:pt>
                <c:pt idx="24">
                  <c:v>25976510</c:v>
                </c:pt>
                <c:pt idx="25">
                  <c:v>25434976</c:v>
                </c:pt>
                <c:pt idx="26">
                  <c:v>25751715</c:v>
                </c:pt>
                <c:pt idx="27">
                  <c:v>25944364</c:v>
                </c:pt>
                <c:pt idx="28">
                  <c:v>26809962</c:v>
                </c:pt>
                <c:pt idx="29">
                  <c:v>27495468</c:v>
                </c:pt>
                <c:pt idx="30">
                  <c:v>29047667</c:v>
                </c:pt>
                <c:pt idx="31">
                  <c:v>27516950</c:v>
                </c:pt>
                <c:pt idx="32">
                  <c:v>27224901</c:v>
                </c:pt>
                <c:pt idx="33">
                  <c:v>28109208</c:v>
                </c:pt>
                <c:pt idx="34">
                  <c:v>29187399</c:v>
                </c:pt>
                <c:pt idx="35">
                  <c:v>30182401</c:v>
                </c:pt>
                <c:pt idx="36">
                  <c:v>31193814</c:v>
                </c:pt>
                <c:pt idx="37">
                  <c:v>31871429</c:v>
                </c:pt>
                <c:pt idx="38">
                  <c:v>32212228</c:v>
                </c:pt>
                <c:pt idx="39">
                  <c:v>33368150</c:v>
                </c:pt>
                <c:pt idx="40">
                  <c:v>34632470</c:v>
                </c:pt>
                <c:pt idx="41">
                  <c:v>34565585</c:v>
                </c:pt>
                <c:pt idx="42">
                  <c:v>34684897.109999999</c:v>
                </c:pt>
                <c:pt idx="43">
                  <c:v>35534092.969999999</c:v>
                </c:pt>
                <c:pt idx="44">
                  <c:v>36276754.049999997</c:v>
                </c:pt>
                <c:pt idx="45">
                  <c:v>36132165.159999996</c:v>
                </c:pt>
                <c:pt idx="46">
                  <c:v>35850653.549999997</c:v>
                </c:pt>
                <c:pt idx="47">
                  <c:v>35280326.299999997</c:v>
                </c:pt>
                <c:pt idx="48">
                  <c:v>35737578.049999997</c:v>
                </c:pt>
                <c:pt idx="49">
                  <c:v>36419687.089999996</c:v>
                </c:pt>
                <c:pt idx="50">
                  <c:v>37402303.779999994</c:v>
                </c:pt>
                <c:pt idx="51">
                  <c:v>37153757.230000004</c:v>
                </c:pt>
                <c:pt idx="52">
                  <c:v>36541966.609999999</c:v>
                </c:pt>
                <c:pt idx="53">
                  <c:v>37523781.789999999</c:v>
                </c:pt>
                <c:pt idx="54">
                  <c:v>36526841.68</c:v>
                </c:pt>
                <c:pt idx="55">
                  <c:v>36747823.289999999</c:v>
                </c:pt>
                <c:pt idx="56">
                  <c:v>36452222.859999999</c:v>
                </c:pt>
                <c:pt idx="57">
                  <c:v>36421138.269999996</c:v>
                </c:pt>
                <c:pt idx="58">
                  <c:v>37532324.879999995</c:v>
                </c:pt>
                <c:pt idx="59">
                  <c:v>38853371.479999997</c:v>
                </c:pt>
                <c:pt idx="60">
                  <c:v>40722239.699999996</c:v>
                </c:pt>
                <c:pt idx="61">
                  <c:v>41108152.659999996</c:v>
                </c:pt>
                <c:pt idx="62">
                  <c:v>40203900.969999999</c:v>
                </c:pt>
                <c:pt idx="63">
                  <c:v>41003430.620000005</c:v>
                </c:pt>
                <c:pt idx="64">
                  <c:v>40581025.240000002</c:v>
                </c:pt>
                <c:pt idx="65">
                  <c:v>41399075.059999995</c:v>
                </c:pt>
                <c:pt idx="66">
                  <c:v>42251716.060000002</c:v>
                </c:pt>
                <c:pt idx="67">
                  <c:v>41964965.589999996</c:v>
                </c:pt>
                <c:pt idx="68">
                  <c:v>42959652.710000001</c:v>
                </c:pt>
                <c:pt idx="69">
                  <c:v>44202940.720000006</c:v>
                </c:pt>
                <c:pt idx="70">
                  <c:v>45610986.720000006</c:v>
                </c:pt>
                <c:pt idx="71">
                  <c:v>46041948.839999996</c:v>
                </c:pt>
                <c:pt idx="72">
                  <c:v>44939359.220000006</c:v>
                </c:pt>
                <c:pt idx="73">
                  <c:v>45764856.220000006</c:v>
                </c:pt>
                <c:pt idx="74">
                  <c:v>49152083.220000006</c:v>
                </c:pt>
                <c:pt idx="75">
                  <c:v>48407579.119999997</c:v>
                </c:pt>
                <c:pt idx="76">
                  <c:v>50916207.119999997</c:v>
                </c:pt>
                <c:pt idx="77">
                  <c:v>51699398.119999997</c:v>
                </c:pt>
                <c:pt idx="78">
                  <c:v>52085693.119999997</c:v>
                </c:pt>
                <c:pt idx="79">
                  <c:v>53022101.119999997</c:v>
                </c:pt>
                <c:pt idx="80">
                  <c:v>54345540.350000001</c:v>
                </c:pt>
                <c:pt idx="81">
                  <c:v>54179764.82</c:v>
                </c:pt>
                <c:pt idx="82">
                  <c:v>54160762.82</c:v>
                </c:pt>
                <c:pt idx="83">
                  <c:v>53182484.350000001</c:v>
                </c:pt>
                <c:pt idx="84">
                  <c:v>51182722</c:v>
                </c:pt>
                <c:pt idx="85">
                  <c:v>50158572</c:v>
                </c:pt>
                <c:pt idx="86">
                  <c:v>46053117</c:v>
                </c:pt>
                <c:pt idx="87">
                  <c:v>45360564</c:v>
                </c:pt>
                <c:pt idx="88">
                  <c:v>42280220</c:v>
                </c:pt>
                <c:pt idx="89">
                  <c:v>39405369</c:v>
                </c:pt>
                <c:pt idx="90">
                  <c:v>38586715</c:v>
                </c:pt>
                <c:pt idx="91">
                  <c:v>37235292</c:v>
                </c:pt>
                <c:pt idx="92">
                  <c:v>33724702</c:v>
                </c:pt>
                <c:pt idx="93">
                  <c:v>32249667</c:v>
                </c:pt>
                <c:pt idx="94">
                  <c:v>28898971</c:v>
                </c:pt>
                <c:pt idx="95">
                  <c:v>27643195</c:v>
                </c:pt>
                <c:pt idx="96">
                  <c:v>27791178</c:v>
                </c:pt>
                <c:pt idx="97">
                  <c:v>26554052</c:v>
                </c:pt>
                <c:pt idx="98">
                  <c:v>26540834</c:v>
                </c:pt>
                <c:pt idx="99">
                  <c:v>26769780</c:v>
                </c:pt>
                <c:pt idx="100">
                  <c:v>27471293</c:v>
                </c:pt>
                <c:pt idx="101">
                  <c:v>28750467</c:v>
                </c:pt>
                <c:pt idx="102">
                  <c:v>28467546</c:v>
                </c:pt>
                <c:pt idx="103">
                  <c:v>29261877</c:v>
                </c:pt>
                <c:pt idx="104">
                  <c:v>31963015</c:v>
                </c:pt>
                <c:pt idx="105">
                  <c:v>33028279</c:v>
                </c:pt>
                <c:pt idx="106">
                  <c:v>35122238</c:v>
                </c:pt>
                <c:pt idx="107">
                  <c:v>35667639</c:v>
                </c:pt>
                <c:pt idx="108">
                  <c:v>35902211</c:v>
                </c:pt>
                <c:pt idx="109">
                  <c:v>36503081</c:v>
                </c:pt>
                <c:pt idx="110">
                  <c:v>38976350</c:v>
                </c:pt>
                <c:pt idx="111">
                  <c:v>40115597</c:v>
                </c:pt>
                <c:pt idx="112">
                  <c:v>40990678</c:v>
                </c:pt>
                <c:pt idx="113">
                  <c:v>41369381</c:v>
                </c:pt>
                <c:pt idx="114">
                  <c:v>43168875</c:v>
                </c:pt>
                <c:pt idx="115">
                  <c:v>44317716</c:v>
                </c:pt>
                <c:pt idx="116">
                  <c:v>43773742</c:v>
                </c:pt>
                <c:pt idx="117">
                  <c:v>44157675</c:v>
                </c:pt>
                <c:pt idx="118">
                  <c:v>45697348</c:v>
                </c:pt>
                <c:pt idx="119">
                  <c:v>47986745</c:v>
                </c:pt>
                <c:pt idx="120">
                  <c:v>49088803</c:v>
                </c:pt>
                <c:pt idx="121">
                  <c:v>50786721</c:v>
                </c:pt>
                <c:pt idx="122">
                  <c:v>51284024</c:v>
                </c:pt>
                <c:pt idx="123">
                  <c:v>50454362</c:v>
                </c:pt>
                <c:pt idx="124">
                  <c:v>50090381</c:v>
                </c:pt>
                <c:pt idx="125">
                  <c:v>51095993</c:v>
                </c:pt>
                <c:pt idx="126">
                  <c:v>49831924</c:v>
                </c:pt>
                <c:pt idx="127">
                  <c:v>49270698</c:v>
                </c:pt>
                <c:pt idx="128">
                  <c:v>49153931</c:v>
                </c:pt>
                <c:pt idx="129">
                  <c:v>49579675</c:v>
                </c:pt>
                <c:pt idx="130">
                  <c:v>48437453</c:v>
                </c:pt>
                <c:pt idx="131">
                  <c:v>47575336</c:v>
                </c:pt>
                <c:pt idx="132">
                  <c:v>46303235</c:v>
                </c:pt>
                <c:pt idx="133">
                  <c:v>45317988</c:v>
                </c:pt>
                <c:pt idx="134">
                  <c:v>44595203.4428</c:v>
                </c:pt>
                <c:pt idx="135">
                  <c:v>46051462.144699998</c:v>
                </c:pt>
                <c:pt idx="136">
                  <c:v>46423943.144699998</c:v>
                </c:pt>
                <c:pt idx="137">
                  <c:v>44492798.144699998</c:v>
                </c:pt>
                <c:pt idx="138">
                  <c:v>44921198.144699998</c:v>
                </c:pt>
                <c:pt idx="139">
                  <c:v>44759114.144699998</c:v>
                </c:pt>
                <c:pt idx="140">
                  <c:v>44549756.144699998</c:v>
                </c:pt>
                <c:pt idx="141">
                  <c:v>43845321.144699998</c:v>
                </c:pt>
                <c:pt idx="142">
                  <c:v>45192188.144699998</c:v>
                </c:pt>
                <c:pt idx="143">
                  <c:v>44913118.144699998</c:v>
                </c:pt>
                <c:pt idx="144">
                  <c:v>45109641.144699998</c:v>
                </c:pt>
                <c:pt idx="145">
                  <c:v>46572462.144699998</c:v>
                </c:pt>
                <c:pt idx="146">
                  <c:v>47004378.701899998</c:v>
                </c:pt>
                <c:pt idx="147">
                  <c:v>47028680</c:v>
                </c:pt>
                <c:pt idx="148">
                  <c:v>47961773</c:v>
                </c:pt>
                <c:pt idx="149">
                  <c:v>49355083</c:v>
                </c:pt>
                <c:pt idx="150">
                  <c:v>48973441</c:v>
                </c:pt>
                <c:pt idx="151">
                  <c:v>49755629</c:v>
                </c:pt>
                <c:pt idx="152">
                  <c:v>49970695</c:v>
                </c:pt>
                <c:pt idx="153">
                  <c:v>50138841</c:v>
                </c:pt>
                <c:pt idx="154">
                  <c:v>48947000</c:v>
                </c:pt>
                <c:pt idx="155">
                  <c:v>48587000</c:v>
                </c:pt>
                <c:pt idx="156">
                  <c:v>48806000</c:v>
                </c:pt>
                <c:pt idx="157">
                  <c:v>47838000</c:v>
                </c:pt>
                <c:pt idx="158">
                  <c:v>47393000</c:v>
                </c:pt>
                <c:pt idx="159">
                  <c:v>46399000</c:v>
                </c:pt>
                <c:pt idx="160">
                  <c:v>46162000</c:v>
                </c:pt>
                <c:pt idx="161">
                  <c:v>47692000</c:v>
                </c:pt>
                <c:pt idx="162">
                  <c:v>48371000</c:v>
                </c:pt>
                <c:pt idx="163">
                  <c:v>47639000</c:v>
                </c:pt>
                <c:pt idx="164">
                  <c:v>47637000</c:v>
                </c:pt>
                <c:pt idx="165">
                  <c:v>48988000</c:v>
                </c:pt>
                <c:pt idx="166">
                  <c:v>49685000</c:v>
                </c:pt>
                <c:pt idx="167">
                  <c:v>50515000</c:v>
                </c:pt>
                <c:pt idx="168">
                  <c:v>51108000</c:v>
                </c:pt>
                <c:pt idx="169">
                  <c:v>50797000</c:v>
                </c:pt>
                <c:pt idx="170">
                  <c:v>50560000</c:v>
                </c:pt>
                <c:pt idx="171">
                  <c:v>51601000</c:v>
                </c:pt>
                <c:pt idx="172">
                  <c:v>50783000</c:v>
                </c:pt>
                <c:pt idx="173">
                  <c:v>48863000</c:v>
                </c:pt>
                <c:pt idx="174">
                  <c:v>50983000</c:v>
                </c:pt>
                <c:pt idx="175">
                  <c:v>51233000</c:v>
                </c:pt>
                <c:pt idx="176">
                  <c:v>51005000</c:v>
                </c:pt>
                <c:pt idx="177">
                  <c:v>50591000</c:v>
                </c:pt>
                <c:pt idx="178">
                  <c:v>49699000</c:v>
                </c:pt>
                <c:pt idx="179">
                  <c:v>49996000</c:v>
                </c:pt>
                <c:pt idx="180">
                  <c:v>50708000</c:v>
                </c:pt>
                <c:pt idx="181">
                  <c:v>51775000</c:v>
                </c:pt>
                <c:pt idx="182">
                  <c:v>52391000</c:v>
                </c:pt>
                <c:pt idx="183">
                  <c:v>51966000</c:v>
                </c:pt>
                <c:pt idx="184">
                  <c:v>51638000</c:v>
                </c:pt>
                <c:pt idx="185">
                  <c:v>53406000</c:v>
                </c:pt>
                <c:pt idx="186">
                  <c:v>51817000</c:v>
                </c:pt>
                <c:pt idx="187">
                  <c:v>51862000</c:v>
                </c:pt>
                <c:pt idx="188">
                  <c:v>53702000</c:v>
                </c:pt>
                <c:pt idx="189">
                  <c:v>55599000</c:v>
                </c:pt>
                <c:pt idx="190">
                  <c:v>56172000</c:v>
                </c:pt>
                <c:pt idx="191">
                  <c:v>56147000</c:v>
                </c:pt>
                <c:pt idx="192">
                  <c:v>58268000</c:v>
                </c:pt>
                <c:pt idx="193">
                  <c:v>60469000</c:v>
                </c:pt>
                <c:pt idx="194">
                  <c:v>61645000</c:v>
                </c:pt>
                <c:pt idx="195">
                  <c:v>62701000</c:v>
                </c:pt>
                <c:pt idx="196">
                  <c:v>67202000</c:v>
                </c:pt>
                <c:pt idx="197">
                  <c:v>67855000</c:v>
                </c:pt>
                <c:pt idx="198">
                  <c:v>69669000</c:v>
                </c:pt>
                <c:pt idx="199">
                  <c:v>74916000</c:v>
                </c:pt>
                <c:pt idx="200">
                  <c:v>75144000</c:v>
                </c:pt>
                <c:pt idx="201">
                  <c:v>74480000</c:v>
                </c:pt>
                <c:pt idx="202">
                  <c:v>76299000</c:v>
                </c:pt>
                <c:pt idx="203">
                  <c:v>76472000</c:v>
                </c:pt>
                <c:pt idx="204">
                  <c:v>74388000</c:v>
                </c:pt>
                <c:pt idx="205">
                  <c:v>74030360</c:v>
                </c:pt>
                <c:pt idx="206">
                  <c:v>73528661</c:v>
                </c:pt>
                <c:pt idx="207">
                  <c:v>74408661</c:v>
                </c:pt>
                <c:pt idx="208">
                  <c:v>73308661</c:v>
                </c:pt>
                <c:pt idx="209">
                  <c:v>73856956</c:v>
                </c:pt>
                <c:pt idx="210">
                  <c:v>72963889</c:v>
                </c:pt>
                <c:pt idx="211">
                  <c:v>68999191</c:v>
                </c:pt>
                <c:pt idx="212">
                  <c:v>69029451</c:v>
                </c:pt>
                <c:pt idx="213">
                  <c:v>71340226</c:v>
                </c:pt>
                <c:pt idx="214">
                  <c:v>70121496</c:v>
                </c:pt>
                <c:pt idx="215">
                  <c:v>71597382</c:v>
                </c:pt>
                <c:pt idx="216">
                  <c:v>71404311</c:v>
                </c:pt>
                <c:pt idx="217">
                  <c:v>72449056</c:v>
                </c:pt>
                <c:pt idx="218">
                  <c:v>71878016</c:v>
                </c:pt>
                <c:pt idx="219">
                  <c:v>75129631</c:v>
                </c:pt>
                <c:pt idx="220">
                  <c:v>73607253</c:v>
                </c:pt>
                <c:pt idx="221">
                  <c:v>71047088</c:v>
                </c:pt>
                <c:pt idx="222">
                  <c:v>69376155</c:v>
                </c:pt>
                <c:pt idx="223">
                  <c:v>67819853</c:v>
                </c:pt>
                <c:pt idx="224">
                  <c:v>65791593</c:v>
                </c:pt>
                <c:pt idx="225">
                  <c:v>65191818</c:v>
                </c:pt>
                <c:pt idx="226">
                  <c:v>65868548</c:v>
                </c:pt>
                <c:pt idx="227">
                  <c:v>65619662</c:v>
                </c:pt>
                <c:pt idx="228">
                  <c:v>70258069</c:v>
                </c:pt>
                <c:pt idx="229">
                  <c:v>67730033</c:v>
                </c:pt>
                <c:pt idx="230">
                  <c:v>67250068</c:v>
                </c:pt>
                <c:pt idx="231">
                  <c:v>65246523</c:v>
                </c:pt>
                <c:pt idx="232">
                  <c:v>66622353</c:v>
                </c:pt>
                <c:pt idx="233">
                  <c:v>68989264</c:v>
                </c:pt>
                <c:pt idx="234">
                  <c:v>71511746</c:v>
                </c:pt>
                <c:pt idx="235">
                  <c:v>73194010</c:v>
                </c:pt>
                <c:pt idx="236">
                  <c:v>75893746</c:v>
                </c:pt>
                <c:pt idx="237">
                  <c:v>76754638</c:v>
                </c:pt>
                <c:pt idx="238">
                  <c:v>78545084</c:v>
                </c:pt>
                <c:pt idx="239">
                  <c:v>79540405</c:v>
                </c:pt>
                <c:pt idx="240">
                  <c:v>76749826</c:v>
                </c:pt>
                <c:pt idx="241">
                  <c:v>78349568</c:v>
                </c:pt>
                <c:pt idx="242">
                  <c:v>80345099</c:v>
                </c:pt>
                <c:pt idx="243">
                  <c:v>81603545</c:v>
                </c:pt>
                <c:pt idx="244">
                  <c:v>79886463</c:v>
                </c:pt>
                <c:pt idx="245">
                  <c:v>79628235</c:v>
                </c:pt>
                <c:pt idx="246">
                  <c:v>79046599</c:v>
                </c:pt>
                <c:pt idx="247">
                  <c:v>81827648</c:v>
                </c:pt>
                <c:pt idx="248">
                  <c:v>82862676</c:v>
                </c:pt>
                <c:pt idx="249">
                  <c:v>80932128</c:v>
                </c:pt>
                <c:pt idx="250">
                  <c:v>82832175</c:v>
                </c:pt>
                <c:pt idx="251">
                  <c:v>84495664</c:v>
                </c:pt>
                <c:pt idx="252">
                  <c:v>85352650</c:v>
                </c:pt>
                <c:pt idx="253">
                  <c:v>86167248</c:v>
                </c:pt>
                <c:pt idx="254">
                  <c:v>86633987</c:v>
                </c:pt>
                <c:pt idx="255">
                  <c:v>86959855</c:v>
                </c:pt>
                <c:pt idx="256">
                  <c:v>88742192</c:v>
                </c:pt>
                <c:pt idx="257">
                  <c:v>90286303</c:v>
                </c:pt>
                <c:pt idx="258">
                  <c:v>96774586</c:v>
                </c:pt>
                <c:pt idx="259">
                  <c:v>93817646</c:v>
                </c:pt>
                <c:pt idx="260">
                  <c:v>93694960</c:v>
                </c:pt>
                <c:pt idx="261">
                  <c:v>95733839</c:v>
                </c:pt>
                <c:pt idx="262">
                  <c:v>96264276</c:v>
                </c:pt>
                <c:pt idx="263">
                  <c:v>104109616</c:v>
                </c:pt>
                <c:pt idx="264">
                  <c:v>104473521</c:v>
                </c:pt>
                <c:pt idx="265">
                  <c:v>106462354</c:v>
                </c:pt>
                <c:pt idx="266">
                  <c:v>109758275</c:v>
                </c:pt>
                <c:pt idx="267">
                  <c:v>109472658</c:v>
                </c:pt>
                <c:pt idx="268">
                  <c:v>110178263</c:v>
                </c:pt>
                <c:pt idx="269">
                  <c:v>109511123</c:v>
                </c:pt>
                <c:pt idx="270">
                  <c:v>105414943</c:v>
                </c:pt>
                <c:pt idx="271">
                  <c:v>107650601</c:v>
                </c:pt>
                <c:pt idx="272">
                  <c:v>110461796</c:v>
                </c:pt>
                <c:pt idx="273">
                  <c:v>110050502</c:v>
                </c:pt>
                <c:pt idx="274">
                  <c:v>108767310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8-4D9A-8E76-ACCD1F4C4599}"/>
            </c:ext>
          </c:extLst>
        </c:ser>
        <c:ser>
          <c:idx val="1"/>
          <c:order val="1"/>
          <c:tx>
            <c:strRef>
              <c:f>Data!$C$6</c:f>
              <c:strCache>
                <c:ptCount val="1"/>
                <c:pt idx="0">
                  <c:v>12_Month Roll_Orders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Data!$A$18:$A$292</c:f>
              <c:numCache>
                <c:formatCode>mmm\-yy</c:formatCode>
                <c:ptCount val="275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  <c:pt idx="12">
                  <c:v>37591</c:v>
                </c:pt>
                <c:pt idx="13">
                  <c:v>37622</c:v>
                </c:pt>
                <c:pt idx="14">
                  <c:v>37653</c:v>
                </c:pt>
                <c:pt idx="15">
                  <c:v>37681</c:v>
                </c:pt>
                <c:pt idx="16">
                  <c:v>37712</c:v>
                </c:pt>
                <c:pt idx="17">
                  <c:v>37742</c:v>
                </c:pt>
                <c:pt idx="18">
                  <c:v>37773</c:v>
                </c:pt>
                <c:pt idx="19">
                  <c:v>37803</c:v>
                </c:pt>
                <c:pt idx="20">
                  <c:v>37834</c:v>
                </c:pt>
                <c:pt idx="21">
                  <c:v>37865</c:v>
                </c:pt>
                <c:pt idx="22">
                  <c:v>37895</c:v>
                </c:pt>
                <c:pt idx="23">
                  <c:v>37926</c:v>
                </c:pt>
                <c:pt idx="24">
                  <c:v>37956</c:v>
                </c:pt>
                <c:pt idx="25">
                  <c:v>37987</c:v>
                </c:pt>
                <c:pt idx="26">
                  <c:v>38018</c:v>
                </c:pt>
                <c:pt idx="27">
                  <c:v>38047</c:v>
                </c:pt>
                <c:pt idx="28">
                  <c:v>38078</c:v>
                </c:pt>
                <c:pt idx="29">
                  <c:v>38108</c:v>
                </c:pt>
                <c:pt idx="30">
                  <c:v>38139</c:v>
                </c:pt>
                <c:pt idx="31">
                  <c:v>38169</c:v>
                </c:pt>
                <c:pt idx="32">
                  <c:v>38200</c:v>
                </c:pt>
                <c:pt idx="33">
                  <c:v>38231</c:v>
                </c:pt>
                <c:pt idx="34">
                  <c:v>38261</c:v>
                </c:pt>
                <c:pt idx="35">
                  <c:v>38292</c:v>
                </c:pt>
                <c:pt idx="36">
                  <c:v>38322</c:v>
                </c:pt>
                <c:pt idx="37">
                  <c:v>38353</c:v>
                </c:pt>
                <c:pt idx="38">
                  <c:v>38384</c:v>
                </c:pt>
                <c:pt idx="39">
                  <c:v>38412</c:v>
                </c:pt>
                <c:pt idx="40">
                  <c:v>38443</c:v>
                </c:pt>
                <c:pt idx="41">
                  <c:v>38473</c:v>
                </c:pt>
                <c:pt idx="42">
                  <c:v>38504</c:v>
                </c:pt>
                <c:pt idx="43">
                  <c:v>38534</c:v>
                </c:pt>
                <c:pt idx="44">
                  <c:v>38565</c:v>
                </c:pt>
                <c:pt idx="45">
                  <c:v>38596</c:v>
                </c:pt>
                <c:pt idx="46">
                  <c:v>38626</c:v>
                </c:pt>
                <c:pt idx="47">
                  <c:v>38657</c:v>
                </c:pt>
                <c:pt idx="48">
                  <c:v>38687</c:v>
                </c:pt>
                <c:pt idx="49">
                  <c:v>38718</c:v>
                </c:pt>
                <c:pt idx="50">
                  <c:v>38749</c:v>
                </c:pt>
                <c:pt idx="51">
                  <c:v>38777</c:v>
                </c:pt>
                <c:pt idx="52">
                  <c:v>38808</c:v>
                </c:pt>
                <c:pt idx="53">
                  <c:v>38838</c:v>
                </c:pt>
                <c:pt idx="54">
                  <c:v>38869</c:v>
                </c:pt>
                <c:pt idx="55">
                  <c:v>38899</c:v>
                </c:pt>
                <c:pt idx="56">
                  <c:v>38930</c:v>
                </c:pt>
                <c:pt idx="57">
                  <c:v>38961</c:v>
                </c:pt>
                <c:pt idx="58">
                  <c:v>38991</c:v>
                </c:pt>
                <c:pt idx="59">
                  <c:v>39022</c:v>
                </c:pt>
                <c:pt idx="60">
                  <c:v>39052</c:v>
                </c:pt>
                <c:pt idx="61">
                  <c:v>39083</c:v>
                </c:pt>
                <c:pt idx="62">
                  <c:v>39114</c:v>
                </c:pt>
                <c:pt idx="63">
                  <c:v>39142</c:v>
                </c:pt>
                <c:pt idx="64">
                  <c:v>39173</c:v>
                </c:pt>
                <c:pt idx="65">
                  <c:v>39203</c:v>
                </c:pt>
                <c:pt idx="66">
                  <c:v>39234</c:v>
                </c:pt>
                <c:pt idx="67">
                  <c:v>39264</c:v>
                </c:pt>
                <c:pt idx="68">
                  <c:v>39295</c:v>
                </c:pt>
                <c:pt idx="69">
                  <c:v>39326</c:v>
                </c:pt>
                <c:pt idx="70">
                  <c:v>39356</c:v>
                </c:pt>
                <c:pt idx="71">
                  <c:v>39387</c:v>
                </c:pt>
                <c:pt idx="72">
                  <c:v>39417</c:v>
                </c:pt>
                <c:pt idx="73">
                  <c:v>39448</c:v>
                </c:pt>
                <c:pt idx="74">
                  <c:v>39479</c:v>
                </c:pt>
                <c:pt idx="75">
                  <c:v>39508</c:v>
                </c:pt>
                <c:pt idx="76">
                  <c:v>39539</c:v>
                </c:pt>
                <c:pt idx="77">
                  <c:v>39569</c:v>
                </c:pt>
                <c:pt idx="78">
                  <c:v>39600</c:v>
                </c:pt>
                <c:pt idx="79">
                  <c:v>39630</c:v>
                </c:pt>
                <c:pt idx="80">
                  <c:v>39661</c:v>
                </c:pt>
                <c:pt idx="81">
                  <c:v>39692</c:v>
                </c:pt>
                <c:pt idx="82">
                  <c:v>39722</c:v>
                </c:pt>
                <c:pt idx="83">
                  <c:v>39753</c:v>
                </c:pt>
                <c:pt idx="84">
                  <c:v>39783</c:v>
                </c:pt>
                <c:pt idx="85">
                  <c:v>39814</c:v>
                </c:pt>
                <c:pt idx="86">
                  <c:v>39845</c:v>
                </c:pt>
                <c:pt idx="87">
                  <c:v>39873</c:v>
                </c:pt>
                <c:pt idx="88">
                  <c:v>39904</c:v>
                </c:pt>
                <c:pt idx="89">
                  <c:v>39934</c:v>
                </c:pt>
                <c:pt idx="90">
                  <c:v>39965</c:v>
                </c:pt>
                <c:pt idx="91">
                  <c:v>39995</c:v>
                </c:pt>
                <c:pt idx="92">
                  <c:v>40026</c:v>
                </c:pt>
                <c:pt idx="93">
                  <c:v>40057</c:v>
                </c:pt>
                <c:pt idx="94">
                  <c:v>40087</c:v>
                </c:pt>
                <c:pt idx="95">
                  <c:v>40118</c:v>
                </c:pt>
                <c:pt idx="96">
                  <c:v>40148</c:v>
                </c:pt>
                <c:pt idx="97">
                  <c:v>40179</c:v>
                </c:pt>
                <c:pt idx="98">
                  <c:v>40210</c:v>
                </c:pt>
                <c:pt idx="99">
                  <c:v>40238</c:v>
                </c:pt>
                <c:pt idx="100">
                  <c:v>40269</c:v>
                </c:pt>
                <c:pt idx="101">
                  <c:v>40299</c:v>
                </c:pt>
                <c:pt idx="102">
                  <c:v>40330</c:v>
                </c:pt>
                <c:pt idx="103">
                  <c:v>40360</c:v>
                </c:pt>
                <c:pt idx="104">
                  <c:v>40391</c:v>
                </c:pt>
                <c:pt idx="105">
                  <c:v>40422</c:v>
                </c:pt>
                <c:pt idx="106">
                  <c:v>40452</c:v>
                </c:pt>
                <c:pt idx="107">
                  <c:v>40483</c:v>
                </c:pt>
                <c:pt idx="108">
                  <c:v>40513</c:v>
                </c:pt>
                <c:pt idx="109">
                  <c:v>40544</c:v>
                </c:pt>
                <c:pt idx="110">
                  <c:v>40575</c:v>
                </c:pt>
                <c:pt idx="111">
                  <c:v>40603</c:v>
                </c:pt>
                <c:pt idx="112">
                  <c:v>40634</c:v>
                </c:pt>
                <c:pt idx="113">
                  <c:v>40664</c:v>
                </c:pt>
                <c:pt idx="114">
                  <c:v>40695</c:v>
                </c:pt>
                <c:pt idx="115">
                  <c:v>40725</c:v>
                </c:pt>
                <c:pt idx="116">
                  <c:v>40756</c:v>
                </c:pt>
                <c:pt idx="117">
                  <c:v>40787</c:v>
                </c:pt>
                <c:pt idx="118">
                  <c:v>40817</c:v>
                </c:pt>
                <c:pt idx="119">
                  <c:v>40848</c:v>
                </c:pt>
                <c:pt idx="120">
                  <c:v>40878</c:v>
                </c:pt>
                <c:pt idx="121">
                  <c:v>40909</c:v>
                </c:pt>
                <c:pt idx="122">
                  <c:v>40940</c:v>
                </c:pt>
                <c:pt idx="123">
                  <c:v>40969</c:v>
                </c:pt>
                <c:pt idx="124">
                  <c:v>41000</c:v>
                </c:pt>
                <c:pt idx="125">
                  <c:v>41030</c:v>
                </c:pt>
                <c:pt idx="126">
                  <c:v>41061</c:v>
                </c:pt>
                <c:pt idx="127">
                  <c:v>41091</c:v>
                </c:pt>
                <c:pt idx="128">
                  <c:v>41122</c:v>
                </c:pt>
                <c:pt idx="129">
                  <c:v>41153</c:v>
                </c:pt>
                <c:pt idx="130">
                  <c:v>41183</c:v>
                </c:pt>
                <c:pt idx="131">
                  <c:v>41214</c:v>
                </c:pt>
                <c:pt idx="132">
                  <c:v>41244</c:v>
                </c:pt>
                <c:pt idx="133">
                  <c:v>41275</c:v>
                </c:pt>
                <c:pt idx="134">
                  <c:v>41306</c:v>
                </c:pt>
                <c:pt idx="135">
                  <c:v>41334</c:v>
                </c:pt>
                <c:pt idx="136">
                  <c:v>41365</c:v>
                </c:pt>
                <c:pt idx="137">
                  <c:v>41395</c:v>
                </c:pt>
                <c:pt idx="138">
                  <c:v>41426</c:v>
                </c:pt>
                <c:pt idx="139">
                  <c:v>41456</c:v>
                </c:pt>
                <c:pt idx="140">
                  <c:v>41487</c:v>
                </c:pt>
                <c:pt idx="141">
                  <c:v>41518</c:v>
                </c:pt>
                <c:pt idx="142">
                  <c:v>41548</c:v>
                </c:pt>
                <c:pt idx="143">
                  <c:v>41579</c:v>
                </c:pt>
                <c:pt idx="144">
                  <c:v>41609</c:v>
                </c:pt>
                <c:pt idx="145">
                  <c:v>41640</c:v>
                </c:pt>
                <c:pt idx="146">
                  <c:v>41671</c:v>
                </c:pt>
                <c:pt idx="147">
                  <c:v>41699</c:v>
                </c:pt>
                <c:pt idx="148">
                  <c:v>41730</c:v>
                </c:pt>
                <c:pt idx="149">
                  <c:v>41760</c:v>
                </c:pt>
                <c:pt idx="150">
                  <c:v>41791</c:v>
                </c:pt>
                <c:pt idx="151">
                  <c:v>41821</c:v>
                </c:pt>
                <c:pt idx="152">
                  <c:v>41852</c:v>
                </c:pt>
                <c:pt idx="153">
                  <c:v>41883</c:v>
                </c:pt>
                <c:pt idx="154">
                  <c:v>41913</c:v>
                </c:pt>
                <c:pt idx="155">
                  <c:v>41944</c:v>
                </c:pt>
                <c:pt idx="156">
                  <c:v>41974</c:v>
                </c:pt>
                <c:pt idx="157">
                  <c:v>42005</c:v>
                </c:pt>
                <c:pt idx="158">
                  <c:v>42036</c:v>
                </c:pt>
                <c:pt idx="159">
                  <c:v>42064</c:v>
                </c:pt>
                <c:pt idx="160">
                  <c:v>42095</c:v>
                </c:pt>
                <c:pt idx="161">
                  <c:v>42125</c:v>
                </c:pt>
                <c:pt idx="162">
                  <c:v>42156</c:v>
                </c:pt>
                <c:pt idx="163">
                  <c:v>42186</c:v>
                </c:pt>
                <c:pt idx="164">
                  <c:v>42217</c:v>
                </c:pt>
                <c:pt idx="165">
                  <c:v>42248</c:v>
                </c:pt>
                <c:pt idx="166">
                  <c:v>42278</c:v>
                </c:pt>
                <c:pt idx="167">
                  <c:v>42309</c:v>
                </c:pt>
                <c:pt idx="168">
                  <c:v>42339</c:v>
                </c:pt>
                <c:pt idx="169">
                  <c:v>42370</c:v>
                </c:pt>
                <c:pt idx="170">
                  <c:v>42401</c:v>
                </c:pt>
                <c:pt idx="171">
                  <c:v>42430</c:v>
                </c:pt>
                <c:pt idx="172">
                  <c:v>42461</c:v>
                </c:pt>
                <c:pt idx="173">
                  <c:v>42491</c:v>
                </c:pt>
                <c:pt idx="174">
                  <c:v>42522</c:v>
                </c:pt>
                <c:pt idx="175">
                  <c:v>42552</c:v>
                </c:pt>
                <c:pt idx="176">
                  <c:v>42583</c:v>
                </c:pt>
                <c:pt idx="177">
                  <c:v>42614</c:v>
                </c:pt>
                <c:pt idx="178">
                  <c:v>42644</c:v>
                </c:pt>
                <c:pt idx="179">
                  <c:v>42675</c:v>
                </c:pt>
                <c:pt idx="180">
                  <c:v>42705</c:v>
                </c:pt>
                <c:pt idx="181">
                  <c:v>42736</c:v>
                </c:pt>
                <c:pt idx="182">
                  <c:v>42767</c:v>
                </c:pt>
                <c:pt idx="183">
                  <c:v>42795</c:v>
                </c:pt>
                <c:pt idx="184">
                  <c:v>42826</c:v>
                </c:pt>
                <c:pt idx="185">
                  <c:v>42856</c:v>
                </c:pt>
                <c:pt idx="186">
                  <c:v>42887</c:v>
                </c:pt>
                <c:pt idx="187">
                  <c:v>42917</c:v>
                </c:pt>
                <c:pt idx="188">
                  <c:v>42948</c:v>
                </c:pt>
                <c:pt idx="189">
                  <c:v>42979</c:v>
                </c:pt>
                <c:pt idx="190">
                  <c:v>43009</c:v>
                </c:pt>
                <c:pt idx="191">
                  <c:v>43040</c:v>
                </c:pt>
                <c:pt idx="192">
                  <c:v>43070</c:v>
                </c:pt>
                <c:pt idx="193">
                  <c:v>43101</c:v>
                </c:pt>
                <c:pt idx="194">
                  <c:v>43132</c:v>
                </c:pt>
                <c:pt idx="195">
                  <c:v>43160</c:v>
                </c:pt>
                <c:pt idx="196">
                  <c:v>43191</c:v>
                </c:pt>
                <c:pt idx="197">
                  <c:v>43221</c:v>
                </c:pt>
                <c:pt idx="198">
                  <c:v>43252</c:v>
                </c:pt>
                <c:pt idx="199">
                  <c:v>43282</c:v>
                </c:pt>
                <c:pt idx="200">
                  <c:v>43313</c:v>
                </c:pt>
                <c:pt idx="201">
                  <c:v>43344</c:v>
                </c:pt>
                <c:pt idx="202">
                  <c:v>43374</c:v>
                </c:pt>
                <c:pt idx="203">
                  <c:v>43405</c:v>
                </c:pt>
                <c:pt idx="204">
                  <c:v>43435</c:v>
                </c:pt>
                <c:pt idx="205">
                  <c:v>43466</c:v>
                </c:pt>
                <c:pt idx="206">
                  <c:v>43497</c:v>
                </c:pt>
                <c:pt idx="207">
                  <c:v>43525</c:v>
                </c:pt>
                <c:pt idx="208">
                  <c:v>43556</c:v>
                </c:pt>
                <c:pt idx="209">
                  <c:v>43586</c:v>
                </c:pt>
                <c:pt idx="210">
                  <c:v>43617</c:v>
                </c:pt>
                <c:pt idx="211">
                  <c:v>43647</c:v>
                </c:pt>
                <c:pt idx="212">
                  <c:v>43678</c:v>
                </c:pt>
                <c:pt idx="213">
                  <c:v>43709</c:v>
                </c:pt>
                <c:pt idx="214">
                  <c:v>43739</c:v>
                </c:pt>
                <c:pt idx="215">
                  <c:v>43770</c:v>
                </c:pt>
                <c:pt idx="216">
                  <c:v>43800</c:v>
                </c:pt>
                <c:pt idx="217">
                  <c:v>43831</c:v>
                </c:pt>
                <c:pt idx="218">
                  <c:v>43862</c:v>
                </c:pt>
                <c:pt idx="219">
                  <c:v>43891</c:v>
                </c:pt>
                <c:pt idx="220">
                  <c:v>43922</c:v>
                </c:pt>
                <c:pt idx="221">
                  <c:v>43952</c:v>
                </c:pt>
                <c:pt idx="222">
                  <c:v>43983</c:v>
                </c:pt>
                <c:pt idx="223">
                  <c:v>44013</c:v>
                </c:pt>
                <c:pt idx="224">
                  <c:v>44044</c:v>
                </c:pt>
                <c:pt idx="225">
                  <c:v>44075</c:v>
                </c:pt>
                <c:pt idx="226">
                  <c:v>44105</c:v>
                </c:pt>
                <c:pt idx="227">
                  <c:v>44136</c:v>
                </c:pt>
                <c:pt idx="228">
                  <c:v>44166</c:v>
                </c:pt>
                <c:pt idx="229">
                  <c:v>44197</c:v>
                </c:pt>
                <c:pt idx="230">
                  <c:v>44228</c:v>
                </c:pt>
                <c:pt idx="231">
                  <c:v>44256</c:v>
                </c:pt>
                <c:pt idx="232">
                  <c:v>44287</c:v>
                </c:pt>
                <c:pt idx="233">
                  <c:v>44317</c:v>
                </c:pt>
                <c:pt idx="234">
                  <c:v>44348</c:v>
                </c:pt>
                <c:pt idx="235">
                  <c:v>44378</c:v>
                </c:pt>
                <c:pt idx="236">
                  <c:v>44409</c:v>
                </c:pt>
                <c:pt idx="237">
                  <c:v>44440</c:v>
                </c:pt>
                <c:pt idx="238">
                  <c:v>44470</c:v>
                </c:pt>
                <c:pt idx="239">
                  <c:v>44501</c:v>
                </c:pt>
                <c:pt idx="240">
                  <c:v>44531</c:v>
                </c:pt>
                <c:pt idx="241">
                  <c:v>44562</c:v>
                </c:pt>
                <c:pt idx="242">
                  <c:v>44593</c:v>
                </c:pt>
                <c:pt idx="243">
                  <c:v>44621</c:v>
                </c:pt>
                <c:pt idx="244">
                  <c:v>44652</c:v>
                </c:pt>
                <c:pt idx="245">
                  <c:v>44682</c:v>
                </c:pt>
                <c:pt idx="246">
                  <c:v>44713</c:v>
                </c:pt>
                <c:pt idx="247">
                  <c:v>44743</c:v>
                </c:pt>
                <c:pt idx="248">
                  <c:v>44774</c:v>
                </c:pt>
                <c:pt idx="249">
                  <c:v>44805</c:v>
                </c:pt>
                <c:pt idx="250">
                  <c:v>44835</c:v>
                </c:pt>
                <c:pt idx="251">
                  <c:v>44866</c:v>
                </c:pt>
                <c:pt idx="252">
                  <c:v>44896</c:v>
                </c:pt>
                <c:pt idx="253">
                  <c:v>44927</c:v>
                </c:pt>
                <c:pt idx="254">
                  <c:v>44958</c:v>
                </c:pt>
                <c:pt idx="255">
                  <c:v>44986</c:v>
                </c:pt>
                <c:pt idx="256">
                  <c:v>45017</c:v>
                </c:pt>
                <c:pt idx="257">
                  <c:v>45047</c:v>
                </c:pt>
                <c:pt idx="258">
                  <c:v>45078</c:v>
                </c:pt>
                <c:pt idx="259">
                  <c:v>45108</c:v>
                </c:pt>
                <c:pt idx="260">
                  <c:v>45139</c:v>
                </c:pt>
                <c:pt idx="261">
                  <c:v>45170</c:v>
                </c:pt>
                <c:pt idx="262">
                  <c:v>45200</c:v>
                </c:pt>
                <c:pt idx="263">
                  <c:v>45231</c:v>
                </c:pt>
                <c:pt idx="264">
                  <c:v>45261</c:v>
                </c:pt>
                <c:pt idx="265">
                  <c:v>45292</c:v>
                </c:pt>
                <c:pt idx="266">
                  <c:v>45323</c:v>
                </c:pt>
                <c:pt idx="267">
                  <c:v>45352</c:v>
                </c:pt>
                <c:pt idx="268">
                  <c:v>45383</c:v>
                </c:pt>
                <c:pt idx="269">
                  <c:v>45413</c:v>
                </c:pt>
                <c:pt idx="270">
                  <c:v>45444</c:v>
                </c:pt>
                <c:pt idx="271">
                  <c:v>45474</c:v>
                </c:pt>
                <c:pt idx="272">
                  <c:v>45505</c:v>
                </c:pt>
                <c:pt idx="273">
                  <c:v>45536</c:v>
                </c:pt>
                <c:pt idx="274">
                  <c:v>45566</c:v>
                </c:pt>
              </c:numCache>
            </c:numRef>
          </c:cat>
          <c:val>
            <c:numRef>
              <c:f>Data!$C$18:$C$292</c:f>
              <c:numCache>
                <c:formatCode>"kr"#,##0_);\("kr"#,##0\)</c:formatCode>
                <c:ptCount val="275"/>
                <c:pt idx="0">
                  <c:v>20868848</c:v>
                </c:pt>
                <c:pt idx="1">
                  <c:v>20992579</c:v>
                </c:pt>
                <c:pt idx="2">
                  <c:v>21005936</c:v>
                </c:pt>
                <c:pt idx="3">
                  <c:v>21001916</c:v>
                </c:pt>
                <c:pt idx="4">
                  <c:v>21634587</c:v>
                </c:pt>
                <c:pt idx="5">
                  <c:v>22231686</c:v>
                </c:pt>
                <c:pt idx="6">
                  <c:v>21995256</c:v>
                </c:pt>
                <c:pt idx="7">
                  <c:v>21964094</c:v>
                </c:pt>
                <c:pt idx="8">
                  <c:v>21458169</c:v>
                </c:pt>
                <c:pt idx="9">
                  <c:v>21912287</c:v>
                </c:pt>
                <c:pt idx="10">
                  <c:v>20975118</c:v>
                </c:pt>
                <c:pt idx="11">
                  <c:v>21782343</c:v>
                </c:pt>
                <c:pt idx="12">
                  <c:v>22661093</c:v>
                </c:pt>
                <c:pt idx="13">
                  <c:v>22922980</c:v>
                </c:pt>
                <c:pt idx="14">
                  <c:v>22739525</c:v>
                </c:pt>
                <c:pt idx="15">
                  <c:v>23661431</c:v>
                </c:pt>
                <c:pt idx="16">
                  <c:v>23833482</c:v>
                </c:pt>
                <c:pt idx="17">
                  <c:v>23665121</c:v>
                </c:pt>
                <c:pt idx="18">
                  <c:v>24526764</c:v>
                </c:pt>
                <c:pt idx="19">
                  <c:v>24413497</c:v>
                </c:pt>
                <c:pt idx="20">
                  <c:v>24933718</c:v>
                </c:pt>
                <c:pt idx="21">
                  <c:v>24927188</c:v>
                </c:pt>
                <c:pt idx="22">
                  <c:v>25045220</c:v>
                </c:pt>
                <c:pt idx="23">
                  <c:v>25361148</c:v>
                </c:pt>
                <c:pt idx="24">
                  <c:v>24608560</c:v>
                </c:pt>
                <c:pt idx="25">
                  <c:v>25323891</c:v>
                </c:pt>
                <c:pt idx="26">
                  <c:v>26255184</c:v>
                </c:pt>
                <c:pt idx="27">
                  <c:v>26347887</c:v>
                </c:pt>
                <c:pt idx="28">
                  <c:v>27610605</c:v>
                </c:pt>
                <c:pt idx="29">
                  <c:v>27729017</c:v>
                </c:pt>
                <c:pt idx="30">
                  <c:v>27240484</c:v>
                </c:pt>
                <c:pt idx="31">
                  <c:v>27056056</c:v>
                </c:pt>
                <c:pt idx="32">
                  <c:v>28165890</c:v>
                </c:pt>
                <c:pt idx="33">
                  <c:v>28803508</c:v>
                </c:pt>
                <c:pt idx="34">
                  <c:v>30297833</c:v>
                </c:pt>
                <c:pt idx="35">
                  <c:v>31962023</c:v>
                </c:pt>
                <c:pt idx="36">
                  <c:v>32797566</c:v>
                </c:pt>
                <c:pt idx="37">
                  <c:v>32082975</c:v>
                </c:pt>
                <c:pt idx="38">
                  <c:v>32717720</c:v>
                </c:pt>
                <c:pt idx="39">
                  <c:v>33183325</c:v>
                </c:pt>
                <c:pt idx="40">
                  <c:v>33486986</c:v>
                </c:pt>
                <c:pt idx="41">
                  <c:v>34439993</c:v>
                </c:pt>
                <c:pt idx="42">
                  <c:v>35445566.600000001</c:v>
                </c:pt>
                <c:pt idx="43">
                  <c:v>36317866.030000001</c:v>
                </c:pt>
                <c:pt idx="44">
                  <c:v>35757234.439999998</c:v>
                </c:pt>
                <c:pt idx="45">
                  <c:v>37399958.130000003</c:v>
                </c:pt>
                <c:pt idx="46">
                  <c:v>35923676.200000003</c:v>
                </c:pt>
                <c:pt idx="47">
                  <c:v>35272087.350000001</c:v>
                </c:pt>
                <c:pt idx="48">
                  <c:v>35767169.859999999</c:v>
                </c:pt>
                <c:pt idx="49">
                  <c:v>36662442.280000001</c:v>
                </c:pt>
                <c:pt idx="50">
                  <c:v>36679273.5</c:v>
                </c:pt>
                <c:pt idx="51">
                  <c:v>37076795.170000002</c:v>
                </c:pt>
                <c:pt idx="52">
                  <c:v>36640779.090000004</c:v>
                </c:pt>
                <c:pt idx="53">
                  <c:v>36105076.310000002</c:v>
                </c:pt>
                <c:pt idx="54">
                  <c:v>36564468.870000005</c:v>
                </c:pt>
                <c:pt idx="55">
                  <c:v>37199615.559999995</c:v>
                </c:pt>
                <c:pt idx="56">
                  <c:v>37459460.789999999</c:v>
                </c:pt>
                <c:pt idx="57">
                  <c:v>36724533.810000002</c:v>
                </c:pt>
                <c:pt idx="58">
                  <c:v>39358866.740000002</c:v>
                </c:pt>
                <c:pt idx="59">
                  <c:v>38920807.180000007</c:v>
                </c:pt>
                <c:pt idx="60">
                  <c:v>39242119.060000002</c:v>
                </c:pt>
                <c:pt idx="61">
                  <c:v>39117986.640000001</c:v>
                </c:pt>
                <c:pt idx="62">
                  <c:v>39488170.420000002</c:v>
                </c:pt>
                <c:pt idx="63">
                  <c:v>40309225.340000004</c:v>
                </c:pt>
                <c:pt idx="64">
                  <c:v>40116476.420000002</c:v>
                </c:pt>
                <c:pt idx="65">
                  <c:v>42032481.200000003</c:v>
                </c:pt>
                <c:pt idx="66">
                  <c:v>44437013.839999996</c:v>
                </c:pt>
                <c:pt idx="67">
                  <c:v>44838090.719999999</c:v>
                </c:pt>
                <c:pt idx="68">
                  <c:v>45904869.019999996</c:v>
                </c:pt>
                <c:pt idx="69">
                  <c:v>45959908.569999993</c:v>
                </c:pt>
                <c:pt idx="70">
                  <c:v>46192329.57</c:v>
                </c:pt>
                <c:pt idx="71">
                  <c:v>47613270.809999995</c:v>
                </c:pt>
                <c:pt idx="72">
                  <c:v>46818500.260000005</c:v>
                </c:pt>
                <c:pt idx="73">
                  <c:v>48392374.260000005</c:v>
                </c:pt>
                <c:pt idx="74">
                  <c:v>49762660.260000005</c:v>
                </c:pt>
                <c:pt idx="75">
                  <c:v>49561031.670000002</c:v>
                </c:pt>
                <c:pt idx="76">
                  <c:v>52912046.670000002</c:v>
                </c:pt>
                <c:pt idx="77">
                  <c:v>52216726.670000002</c:v>
                </c:pt>
                <c:pt idx="78">
                  <c:v>50488021.870000005</c:v>
                </c:pt>
                <c:pt idx="79">
                  <c:v>50790608.870000005</c:v>
                </c:pt>
                <c:pt idx="80">
                  <c:v>50820353.93</c:v>
                </c:pt>
                <c:pt idx="81">
                  <c:v>50738677.670000002</c:v>
                </c:pt>
                <c:pt idx="82">
                  <c:v>51919080.670000002</c:v>
                </c:pt>
                <c:pt idx="83">
                  <c:v>49211600.840000004</c:v>
                </c:pt>
                <c:pt idx="84">
                  <c:v>49006229</c:v>
                </c:pt>
                <c:pt idx="85">
                  <c:v>46831712</c:v>
                </c:pt>
                <c:pt idx="86">
                  <c:v>44753889</c:v>
                </c:pt>
                <c:pt idx="87">
                  <c:v>42206021</c:v>
                </c:pt>
                <c:pt idx="88">
                  <c:v>37930837</c:v>
                </c:pt>
                <c:pt idx="89">
                  <c:v>36067661</c:v>
                </c:pt>
                <c:pt idx="90">
                  <c:v>33936509</c:v>
                </c:pt>
                <c:pt idx="91">
                  <c:v>31988840</c:v>
                </c:pt>
                <c:pt idx="92">
                  <c:v>29881293</c:v>
                </c:pt>
                <c:pt idx="93">
                  <c:v>28387107</c:v>
                </c:pt>
                <c:pt idx="94">
                  <c:v>24485571</c:v>
                </c:pt>
                <c:pt idx="95">
                  <c:v>25269648</c:v>
                </c:pt>
                <c:pt idx="96">
                  <c:v>26099522</c:v>
                </c:pt>
                <c:pt idx="97">
                  <c:v>25317305</c:v>
                </c:pt>
                <c:pt idx="98">
                  <c:v>25778018</c:v>
                </c:pt>
                <c:pt idx="99">
                  <c:v>27381713</c:v>
                </c:pt>
                <c:pt idx="100">
                  <c:v>29399418</c:v>
                </c:pt>
                <c:pt idx="101">
                  <c:v>30633498</c:v>
                </c:pt>
                <c:pt idx="102">
                  <c:v>31008721</c:v>
                </c:pt>
                <c:pt idx="103">
                  <c:v>31828613</c:v>
                </c:pt>
                <c:pt idx="104">
                  <c:v>32125668</c:v>
                </c:pt>
                <c:pt idx="105">
                  <c:v>34326008</c:v>
                </c:pt>
                <c:pt idx="106">
                  <c:v>36879732</c:v>
                </c:pt>
                <c:pt idx="107">
                  <c:v>37443909</c:v>
                </c:pt>
                <c:pt idx="108">
                  <c:v>37589242</c:v>
                </c:pt>
                <c:pt idx="109">
                  <c:v>39199187</c:v>
                </c:pt>
                <c:pt idx="110">
                  <c:v>40428602</c:v>
                </c:pt>
                <c:pt idx="111">
                  <c:v>43162044</c:v>
                </c:pt>
                <c:pt idx="112">
                  <c:v>42797670</c:v>
                </c:pt>
                <c:pt idx="113">
                  <c:v>43643850</c:v>
                </c:pt>
                <c:pt idx="114">
                  <c:v>46281155</c:v>
                </c:pt>
                <c:pt idx="115">
                  <c:v>47072216</c:v>
                </c:pt>
                <c:pt idx="116">
                  <c:v>48583562</c:v>
                </c:pt>
                <c:pt idx="117">
                  <c:v>48791469</c:v>
                </c:pt>
                <c:pt idx="118">
                  <c:v>49229402</c:v>
                </c:pt>
                <c:pt idx="119">
                  <c:v>50792523</c:v>
                </c:pt>
                <c:pt idx="120">
                  <c:v>51401251</c:v>
                </c:pt>
                <c:pt idx="121">
                  <c:v>51975284</c:v>
                </c:pt>
                <c:pt idx="122">
                  <c:v>50837937</c:v>
                </c:pt>
                <c:pt idx="123">
                  <c:v>48399221</c:v>
                </c:pt>
                <c:pt idx="124">
                  <c:v>47962079</c:v>
                </c:pt>
                <c:pt idx="125">
                  <c:v>48329336</c:v>
                </c:pt>
                <c:pt idx="126">
                  <c:v>46877860</c:v>
                </c:pt>
                <c:pt idx="127">
                  <c:v>47041533</c:v>
                </c:pt>
                <c:pt idx="128">
                  <c:v>46150931</c:v>
                </c:pt>
                <c:pt idx="129">
                  <c:v>44951641</c:v>
                </c:pt>
                <c:pt idx="130">
                  <c:v>44280887</c:v>
                </c:pt>
                <c:pt idx="131">
                  <c:v>42816485</c:v>
                </c:pt>
                <c:pt idx="132">
                  <c:v>41553931</c:v>
                </c:pt>
                <c:pt idx="133">
                  <c:v>41790900</c:v>
                </c:pt>
                <c:pt idx="134">
                  <c:v>42021775</c:v>
                </c:pt>
                <c:pt idx="135">
                  <c:v>42514359</c:v>
                </c:pt>
                <c:pt idx="136">
                  <c:v>43273341</c:v>
                </c:pt>
                <c:pt idx="137">
                  <c:v>41644702</c:v>
                </c:pt>
                <c:pt idx="138">
                  <c:v>42390022</c:v>
                </c:pt>
                <c:pt idx="139">
                  <c:v>41950815</c:v>
                </c:pt>
                <c:pt idx="140">
                  <c:v>43623486</c:v>
                </c:pt>
                <c:pt idx="141">
                  <c:v>46104882</c:v>
                </c:pt>
                <c:pt idx="142">
                  <c:v>45241049</c:v>
                </c:pt>
                <c:pt idx="143">
                  <c:v>46998636</c:v>
                </c:pt>
                <c:pt idx="144">
                  <c:v>47019616</c:v>
                </c:pt>
                <c:pt idx="145">
                  <c:v>46986328</c:v>
                </c:pt>
                <c:pt idx="146">
                  <c:v>47710796</c:v>
                </c:pt>
                <c:pt idx="147">
                  <c:v>49473928</c:v>
                </c:pt>
                <c:pt idx="148">
                  <c:v>49804277</c:v>
                </c:pt>
                <c:pt idx="149">
                  <c:v>50075069</c:v>
                </c:pt>
                <c:pt idx="150">
                  <c:v>49019305</c:v>
                </c:pt>
                <c:pt idx="151">
                  <c:v>48270382</c:v>
                </c:pt>
                <c:pt idx="152">
                  <c:v>47746641</c:v>
                </c:pt>
                <c:pt idx="153">
                  <c:v>46445634</c:v>
                </c:pt>
                <c:pt idx="154">
                  <c:v>47126000</c:v>
                </c:pt>
                <c:pt idx="155">
                  <c:v>46588000</c:v>
                </c:pt>
                <c:pt idx="156">
                  <c:v>46885000</c:v>
                </c:pt>
                <c:pt idx="157">
                  <c:v>47188000</c:v>
                </c:pt>
                <c:pt idx="158">
                  <c:v>48664000</c:v>
                </c:pt>
                <c:pt idx="159">
                  <c:v>47456000</c:v>
                </c:pt>
                <c:pt idx="160">
                  <c:v>46682000</c:v>
                </c:pt>
                <c:pt idx="161">
                  <c:v>47742000</c:v>
                </c:pt>
                <c:pt idx="162">
                  <c:v>49352000</c:v>
                </c:pt>
                <c:pt idx="163">
                  <c:v>49599000</c:v>
                </c:pt>
                <c:pt idx="164">
                  <c:v>49022000</c:v>
                </c:pt>
                <c:pt idx="165">
                  <c:v>49706000</c:v>
                </c:pt>
                <c:pt idx="166">
                  <c:v>50891000</c:v>
                </c:pt>
                <c:pt idx="167">
                  <c:v>49315000</c:v>
                </c:pt>
                <c:pt idx="168">
                  <c:v>50350000</c:v>
                </c:pt>
                <c:pt idx="169">
                  <c:v>49885000</c:v>
                </c:pt>
                <c:pt idx="170">
                  <c:v>49095000</c:v>
                </c:pt>
                <c:pt idx="171">
                  <c:v>49596000</c:v>
                </c:pt>
                <c:pt idx="172">
                  <c:v>51506000</c:v>
                </c:pt>
                <c:pt idx="173">
                  <c:v>51333000</c:v>
                </c:pt>
                <c:pt idx="174">
                  <c:v>49687000</c:v>
                </c:pt>
                <c:pt idx="175">
                  <c:v>49913000</c:v>
                </c:pt>
                <c:pt idx="176">
                  <c:v>49362000</c:v>
                </c:pt>
                <c:pt idx="177">
                  <c:v>48911000</c:v>
                </c:pt>
                <c:pt idx="178">
                  <c:v>48971000</c:v>
                </c:pt>
                <c:pt idx="179">
                  <c:v>50690000</c:v>
                </c:pt>
                <c:pt idx="180">
                  <c:v>50482000</c:v>
                </c:pt>
                <c:pt idx="181">
                  <c:v>50705000</c:v>
                </c:pt>
                <c:pt idx="182">
                  <c:v>50350000</c:v>
                </c:pt>
                <c:pt idx="183">
                  <c:v>51749000</c:v>
                </c:pt>
                <c:pt idx="184">
                  <c:v>50470000</c:v>
                </c:pt>
                <c:pt idx="185">
                  <c:v>51466000</c:v>
                </c:pt>
                <c:pt idx="186">
                  <c:v>53210000</c:v>
                </c:pt>
                <c:pt idx="187">
                  <c:v>54336000</c:v>
                </c:pt>
                <c:pt idx="188">
                  <c:v>54931000</c:v>
                </c:pt>
                <c:pt idx="189">
                  <c:v>56081000</c:v>
                </c:pt>
                <c:pt idx="190">
                  <c:v>56245000</c:v>
                </c:pt>
                <c:pt idx="191">
                  <c:v>57912000</c:v>
                </c:pt>
                <c:pt idx="192">
                  <c:v>61924000</c:v>
                </c:pt>
                <c:pt idx="193">
                  <c:v>64686000</c:v>
                </c:pt>
                <c:pt idx="194">
                  <c:v>67257000</c:v>
                </c:pt>
                <c:pt idx="195">
                  <c:v>69417000</c:v>
                </c:pt>
                <c:pt idx="196">
                  <c:v>72399000</c:v>
                </c:pt>
                <c:pt idx="197">
                  <c:v>73693000</c:v>
                </c:pt>
                <c:pt idx="198">
                  <c:v>73176000</c:v>
                </c:pt>
                <c:pt idx="199">
                  <c:v>72863000</c:v>
                </c:pt>
                <c:pt idx="200">
                  <c:v>73573000</c:v>
                </c:pt>
                <c:pt idx="201">
                  <c:v>73331000</c:v>
                </c:pt>
                <c:pt idx="202">
                  <c:v>74575000</c:v>
                </c:pt>
                <c:pt idx="203">
                  <c:v>73347000</c:v>
                </c:pt>
                <c:pt idx="204">
                  <c:v>71223000</c:v>
                </c:pt>
                <c:pt idx="205">
                  <c:v>70382000</c:v>
                </c:pt>
                <c:pt idx="206">
                  <c:v>70521251</c:v>
                </c:pt>
                <c:pt idx="207">
                  <c:v>67526164</c:v>
                </c:pt>
                <c:pt idx="208">
                  <c:v>66086357</c:v>
                </c:pt>
                <c:pt idx="209">
                  <c:v>66425879</c:v>
                </c:pt>
                <c:pt idx="210">
                  <c:v>70051539</c:v>
                </c:pt>
                <c:pt idx="211">
                  <c:v>70293007</c:v>
                </c:pt>
                <c:pt idx="212">
                  <c:v>70860514</c:v>
                </c:pt>
                <c:pt idx="213">
                  <c:v>71089380</c:v>
                </c:pt>
                <c:pt idx="214">
                  <c:v>73325103</c:v>
                </c:pt>
                <c:pt idx="215">
                  <c:v>74062944</c:v>
                </c:pt>
                <c:pt idx="216">
                  <c:v>72931416</c:v>
                </c:pt>
                <c:pt idx="217">
                  <c:v>72238452</c:v>
                </c:pt>
                <c:pt idx="218">
                  <c:v>70713410</c:v>
                </c:pt>
                <c:pt idx="219">
                  <c:v>71855038</c:v>
                </c:pt>
                <c:pt idx="220">
                  <c:v>69896808</c:v>
                </c:pt>
                <c:pt idx="221">
                  <c:v>66553025</c:v>
                </c:pt>
                <c:pt idx="222">
                  <c:v>64597365</c:v>
                </c:pt>
                <c:pt idx="223">
                  <c:v>63134897</c:v>
                </c:pt>
                <c:pt idx="224">
                  <c:v>63121390</c:v>
                </c:pt>
                <c:pt idx="225">
                  <c:v>65238524</c:v>
                </c:pt>
                <c:pt idx="226">
                  <c:v>63941801</c:v>
                </c:pt>
                <c:pt idx="227">
                  <c:v>63445960</c:v>
                </c:pt>
                <c:pt idx="228">
                  <c:v>64693599</c:v>
                </c:pt>
                <c:pt idx="229">
                  <c:v>62769749</c:v>
                </c:pt>
                <c:pt idx="230">
                  <c:v>63136651</c:v>
                </c:pt>
                <c:pt idx="231">
                  <c:v>66760181</c:v>
                </c:pt>
                <c:pt idx="232">
                  <c:v>69218062</c:v>
                </c:pt>
                <c:pt idx="233">
                  <c:v>74947395</c:v>
                </c:pt>
                <c:pt idx="234">
                  <c:v>74944494</c:v>
                </c:pt>
                <c:pt idx="235">
                  <c:v>77873984</c:v>
                </c:pt>
                <c:pt idx="236">
                  <c:v>78271843</c:v>
                </c:pt>
                <c:pt idx="237">
                  <c:v>77910201</c:v>
                </c:pt>
                <c:pt idx="238">
                  <c:v>76839028</c:v>
                </c:pt>
                <c:pt idx="239">
                  <c:v>78957735</c:v>
                </c:pt>
                <c:pt idx="240">
                  <c:v>79337052</c:v>
                </c:pt>
                <c:pt idx="241">
                  <c:v>83653261</c:v>
                </c:pt>
                <c:pt idx="242">
                  <c:v>84434811</c:v>
                </c:pt>
                <c:pt idx="243">
                  <c:v>80577040</c:v>
                </c:pt>
                <c:pt idx="244">
                  <c:v>81662243</c:v>
                </c:pt>
                <c:pt idx="245">
                  <c:v>79656284</c:v>
                </c:pt>
                <c:pt idx="246">
                  <c:v>82786440</c:v>
                </c:pt>
                <c:pt idx="247">
                  <c:v>84997978</c:v>
                </c:pt>
                <c:pt idx="248">
                  <c:v>84416840</c:v>
                </c:pt>
                <c:pt idx="249">
                  <c:v>83477667</c:v>
                </c:pt>
                <c:pt idx="250">
                  <c:v>85615708</c:v>
                </c:pt>
                <c:pt idx="251">
                  <c:v>89929607</c:v>
                </c:pt>
                <c:pt idx="252">
                  <c:v>90845785</c:v>
                </c:pt>
                <c:pt idx="253">
                  <c:v>90597763</c:v>
                </c:pt>
                <c:pt idx="254">
                  <c:v>91431058</c:v>
                </c:pt>
                <c:pt idx="255">
                  <c:v>92964713</c:v>
                </c:pt>
                <c:pt idx="256">
                  <c:v>98959219</c:v>
                </c:pt>
                <c:pt idx="257">
                  <c:v>99642926</c:v>
                </c:pt>
                <c:pt idx="258">
                  <c:v>100899098</c:v>
                </c:pt>
                <c:pt idx="259">
                  <c:v>98768652</c:v>
                </c:pt>
                <c:pt idx="260">
                  <c:v>100424656</c:v>
                </c:pt>
                <c:pt idx="261">
                  <c:v>100886116</c:v>
                </c:pt>
                <c:pt idx="262">
                  <c:v>100966922</c:v>
                </c:pt>
                <c:pt idx="263">
                  <c:v>99343452</c:v>
                </c:pt>
                <c:pt idx="264">
                  <c:v>99040974</c:v>
                </c:pt>
                <c:pt idx="265">
                  <c:v>100995552</c:v>
                </c:pt>
                <c:pt idx="266">
                  <c:v>103530632</c:v>
                </c:pt>
                <c:pt idx="267">
                  <c:v>102918380</c:v>
                </c:pt>
                <c:pt idx="268">
                  <c:v>98198343</c:v>
                </c:pt>
                <c:pt idx="269">
                  <c:v>97658392</c:v>
                </c:pt>
                <c:pt idx="270">
                  <c:v>94467141</c:v>
                </c:pt>
                <c:pt idx="271">
                  <c:v>97128354</c:v>
                </c:pt>
                <c:pt idx="272">
                  <c:v>102526220</c:v>
                </c:pt>
                <c:pt idx="273">
                  <c:v>102787593</c:v>
                </c:pt>
                <c:pt idx="274">
                  <c:v>104646841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8-4C56-A936-C6C559CC6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905912"/>
        <c:axId val="391905584"/>
      </c:lineChart>
      <c:lineChart>
        <c:grouping val="standard"/>
        <c:varyColors val="0"/>
        <c:ser>
          <c:idx val="2"/>
          <c:order val="2"/>
          <c:tx>
            <c:strRef>
              <c:f>Data!$D$6</c:f>
              <c:strCache>
                <c:ptCount val="1"/>
                <c:pt idx="0">
                  <c:v>O/S-Ratio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Data!$A$18:$A$292</c:f>
              <c:numCache>
                <c:formatCode>mmm\-yy</c:formatCode>
                <c:ptCount val="275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  <c:pt idx="12">
                  <c:v>37591</c:v>
                </c:pt>
                <c:pt idx="13">
                  <c:v>37622</c:v>
                </c:pt>
                <c:pt idx="14">
                  <c:v>37653</c:v>
                </c:pt>
                <c:pt idx="15">
                  <c:v>37681</c:v>
                </c:pt>
                <c:pt idx="16">
                  <c:v>37712</c:v>
                </c:pt>
                <c:pt idx="17">
                  <c:v>37742</c:v>
                </c:pt>
                <c:pt idx="18">
                  <c:v>37773</c:v>
                </c:pt>
                <c:pt idx="19">
                  <c:v>37803</c:v>
                </c:pt>
                <c:pt idx="20">
                  <c:v>37834</c:v>
                </c:pt>
                <c:pt idx="21">
                  <c:v>37865</c:v>
                </c:pt>
                <c:pt idx="22">
                  <c:v>37895</c:v>
                </c:pt>
                <c:pt idx="23">
                  <c:v>37926</c:v>
                </c:pt>
                <c:pt idx="24">
                  <c:v>37956</c:v>
                </c:pt>
                <c:pt idx="25">
                  <c:v>37987</c:v>
                </c:pt>
                <c:pt idx="26">
                  <c:v>38018</c:v>
                </c:pt>
                <c:pt idx="27">
                  <c:v>38047</c:v>
                </c:pt>
                <c:pt idx="28">
                  <c:v>38078</c:v>
                </c:pt>
                <c:pt idx="29">
                  <c:v>38108</c:v>
                </c:pt>
                <c:pt idx="30">
                  <c:v>38139</c:v>
                </c:pt>
                <c:pt idx="31">
                  <c:v>38169</c:v>
                </c:pt>
                <c:pt idx="32">
                  <c:v>38200</c:v>
                </c:pt>
                <c:pt idx="33">
                  <c:v>38231</c:v>
                </c:pt>
                <c:pt idx="34">
                  <c:v>38261</c:v>
                </c:pt>
                <c:pt idx="35">
                  <c:v>38292</c:v>
                </c:pt>
                <c:pt idx="36">
                  <c:v>38322</c:v>
                </c:pt>
                <c:pt idx="37">
                  <c:v>38353</c:v>
                </c:pt>
                <c:pt idx="38">
                  <c:v>38384</c:v>
                </c:pt>
                <c:pt idx="39">
                  <c:v>38412</c:v>
                </c:pt>
                <c:pt idx="40">
                  <c:v>38443</c:v>
                </c:pt>
                <c:pt idx="41">
                  <c:v>38473</c:v>
                </c:pt>
                <c:pt idx="42">
                  <c:v>38504</c:v>
                </c:pt>
                <c:pt idx="43">
                  <c:v>38534</c:v>
                </c:pt>
                <c:pt idx="44">
                  <c:v>38565</c:v>
                </c:pt>
                <c:pt idx="45">
                  <c:v>38596</c:v>
                </c:pt>
                <c:pt idx="46">
                  <c:v>38626</c:v>
                </c:pt>
                <c:pt idx="47">
                  <c:v>38657</c:v>
                </c:pt>
                <c:pt idx="48">
                  <c:v>38687</c:v>
                </c:pt>
                <c:pt idx="49">
                  <c:v>38718</c:v>
                </c:pt>
                <c:pt idx="50">
                  <c:v>38749</c:v>
                </c:pt>
                <c:pt idx="51">
                  <c:v>38777</c:v>
                </c:pt>
                <c:pt idx="52">
                  <c:v>38808</c:v>
                </c:pt>
                <c:pt idx="53">
                  <c:v>38838</c:v>
                </c:pt>
                <c:pt idx="54">
                  <c:v>38869</c:v>
                </c:pt>
                <c:pt idx="55">
                  <c:v>38899</c:v>
                </c:pt>
                <c:pt idx="56">
                  <c:v>38930</c:v>
                </c:pt>
                <c:pt idx="57">
                  <c:v>38961</c:v>
                </c:pt>
                <c:pt idx="58">
                  <c:v>38991</c:v>
                </c:pt>
                <c:pt idx="59">
                  <c:v>39022</c:v>
                </c:pt>
                <c:pt idx="60">
                  <c:v>39052</c:v>
                </c:pt>
                <c:pt idx="61">
                  <c:v>39083</c:v>
                </c:pt>
                <c:pt idx="62">
                  <c:v>39114</c:v>
                </c:pt>
                <c:pt idx="63">
                  <c:v>39142</c:v>
                </c:pt>
                <c:pt idx="64">
                  <c:v>39173</c:v>
                </c:pt>
                <c:pt idx="65">
                  <c:v>39203</c:v>
                </c:pt>
                <c:pt idx="66">
                  <c:v>39234</c:v>
                </c:pt>
                <c:pt idx="67">
                  <c:v>39264</c:v>
                </c:pt>
                <c:pt idx="68">
                  <c:v>39295</c:v>
                </c:pt>
                <c:pt idx="69">
                  <c:v>39326</c:v>
                </c:pt>
                <c:pt idx="70">
                  <c:v>39356</c:v>
                </c:pt>
                <c:pt idx="71">
                  <c:v>39387</c:v>
                </c:pt>
                <c:pt idx="72">
                  <c:v>39417</c:v>
                </c:pt>
                <c:pt idx="73">
                  <c:v>39448</c:v>
                </c:pt>
                <c:pt idx="74">
                  <c:v>39479</c:v>
                </c:pt>
                <c:pt idx="75">
                  <c:v>39508</c:v>
                </c:pt>
                <c:pt idx="76">
                  <c:v>39539</c:v>
                </c:pt>
                <c:pt idx="77">
                  <c:v>39569</c:v>
                </c:pt>
                <c:pt idx="78">
                  <c:v>39600</c:v>
                </c:pt>
                <c:pt idx="79">
                  <c:v>39630</c:v>
                </c:pt>
                <c:pt idx="80">
                  <c:v>39661</c:v>
                </c:pt>
                <c:pt idx="81">
                  <c:v>39692</c:v>
                </c:pt>
                <c:pt idx="82">
                  <c:v>39722</c:v>
                </c:pt>
                <c:pt idx="83">
                  <c:v>39753</c:v>
                </c:pt>
                <c:pt idx="84">
                  <c:v>39783</c:v>
                </c:pt>
                <c:pt idx="85">
                  <c:v>39814</c:v>
                </c:pt>
                <c:pt idx="86">
                  <c:v>39845</c:v>
                </c:pt>
                <c:pt idx="87">
                  <c:v>39873</c:v>
                </c:pt>
                <c:pt idx="88">
                  <c:v>39904</c:v>
                </c:pt>
                <c:pt idx="89">
                  <c:v>39934</c:v>
                </c:pt>
                <c:pt idx="90">
                  <c:v>39965</c:v>
                </c:pt>
                <c:pt idx="91">
                  <c:v>39995</c:v>
                </c:pt>
                <c:pt idx="92">
                  <c:v>40026</c:v>
                </c:pt>
                <c:pt idx="93">
                  <c:v>40057</c:v>
                </c:pt>
                <c:pt idx="94">
                  <c:v>40087</c:v>
                </c:pt>
                <c:pt idx="95">
                  <c:v>40118</c:v>
                </c:pt>
                <c:pt idx="96">
                  <c:v>40148</c:v>
                </c:pt>
                <c:pt idx="97">
                  <c:v>40179</c:v>
                </c:pt>
                <c:pt idx="98">
                  <c:v>40210</c:v>
                </c:pt>
                <c:pt idx="99">
                  <c:v>40238</c:v>
                </c:pt>
                <c:pt idx="100">
                  <c:v>40269</c:v>
                </c:pt>
                <c:pt idx="101">
                  <c:v>40299</c:v>
                </c:pt>
                <c:pt idx="102">
                  <c:v>40330</c:v>
                </c:pt>
                <c:pt idx="103">
                  <c:v>40360</c:v>
                </c:pt>
                <c:pt idx="104">
                  <c:v>40391</c:v>
                </c:pt>
                <c:pt idx="105">
                  <c:v>40422</c:v>
                </c:pt>
                <c:pt idx="106">
                  <c:v>40452</c:v>
                </c:pt>
                <c:pt idx="107">
                  <c:v>40483</c:v>
                </c:pt>
                <c:pt idx="108">
                  <c:v>40513</c:v>
                </c:pt>
                <c:pt idx="109">
                  <c:v>40544</c:v>
                </c:pt>
                <c:pt idx="110">
                  <c:v>40575</c:v>
                </c:pt>
                <c:pt idx="111">
                  <c:v>40603</c:v>
                </c:pt>
                <c:pt idx="112">
                  <c:v>40634</c:v>
                </c:pt>
                <c:pt idx="113">
                  <c:v>40664</c:v>
                </c:pt>
                <c:pt idx="114">
                  <c:v>40695</c:v>
                </c:pt>
                <c:pt idx="115">
                  <c:v>40725</c:v>
                </c:pt>
                <c:pt idx="116">
                  <c:v>40756</c:v>
                </c:pt>
                <c:pt idx="117">
                  <c:v>40787</c:v>
                </c:pt>
                <c:pt idx="118">
                  <c:v>40817</c:v>
                </c:pt>
                <c:pt idx="119">
                  <c:v>40848</c:v>
                </c:pt>
                <c:pt idx="120">
                  <c:v>40878</c:v>
                </c:pt>
                <c:pt idx="121">
                  <c:v>40909</c:v>
                </c:pt>
                <c:pt idx="122">
                  <c:v>40940</c:v>
                </c:pt>
                <c:pt idx="123">
                  <c:v>40969</c:v>
                </c:pt>
                <c:pt idx="124">
                  <c:v>41000</c:v>
                </c:pt>
                <c:pt idx="125">
                  <c:v>41030</c:v>
                </c:pt>
                <c:pt idx="126">
                  <c:v>41061</c:v>
                </c:pt>
                <c:pt idx="127">
                  <c:v>41091</c:v>
                </c:pt>
                <c:pt idx="128">
                  <c:v>41122</c:v>
                </c:pt>
                <c:pt idx="129">
                  <c:v>41153</c:v>
                </c:pt>
                <c:pt idx="130">
                  <c:v>41183</c:v>
                </c:pt>
                <c:pt idx="131">
                  <c:v>41214</c:v>
                </c:pt>
                <c:pt idx="132">
                  <c:v>41244</c:v>
                </c:pt>
                <c:pt idx="133">
                  <c:v>41275</c:v>
                </c:pt>
                <c:pt idx="134">
                  <c:v>41306</c:v>
                </c:pt>
                <c:pt idx="135">
                  <c:v>41334</c:v>
                </c:pt>
                <c:pt idx="136">
                  <c:v>41365</c:v>
                </c:pt>
                <c:pt idx="137">
                  <c:v>41395</c:v>
                </c:pt>
                <c:pt idx="138">
                  <c:v>41426</c:v>
                </c:pt>
                <c:pt idx="139">
                  <c:v>41456</c:v>
                </c:pt>
                <c:pt idx="140">
                  <c:v>41487</c:v>
                </c:pt>
                <c:pt idx="141">
                  <c:v>41518</c:v>
                </c:pt>
                <c:pt idx="142">
                  <c:v>41548</c:v>
                </c:pt>
                <c:pt idx="143">
                  <c:v>41579</c:v>
                </c:pt>
                <c:pt idx="144">
                  <c:v>41609</c:v>
                </c:pt>
                <c:pt idx="145">
                  <c:v>41640</c:v>
                </c:pt>
                <c:pt idx="146">
                  <c:v>41671</c:v>
                </c:pt>
                <c:pt idx="147">
                  <c:v>41699</c:v>
                </c:pt>
                <c:pt idx="148">
                  <c:v>41730</c:v>
                </c:pt>
                <c:pt idx="149">
                  <c:v>41760</c:v>
                </c:pt>
                <c:pt idx="150">
                  <c:v>41791</c:v>
                </c:pt>
                <c:pt idx="151">
                  <c:v>41821</c:v>
                </c:pt>
                <c:pt idx="152">
                  <c:v>41852</c:v>
                </c:pt>
                <c:pt idx="153">
                  <c:v>41883</c:v>
                </c:pt>
                <c:pt idx="154">
                  <c:v>41913</c:v>
                </c:pt>
                <c:pt idx="155">
                  <c:v>41944</c:v>
                </c:pt>
                <c:pt idx="156">
                  <c:v>41974</c:v>
                </c:pt>
                <c:pt idx="157">
                  <c:v>42005</c:v>
                </c:pt>
                <c:pt idx="158">
                  <c:v>42036</c:v>
                </c:pt>
                <c:pt idx="159">
                  <c:v>42064</c:v>
                </c:pt>
                <c:pt idx="160">
                  <c:v>42095</c:v>
                </c:pt>
                <c:pt idx="161">
                  <c:v>42125</c:v>
                </c:pt>
                <c:pt idx="162">
                  <c:v>42156</c:v>
                </c:pt>
                <c:pt idx="163">
                  <c:v>42186</c:v>
                </c:pt>
                <c:pt idx="164">
                  <c:v>42217</c:v>
                </c:pt>
                <c:pt idx="165">
                  <c:v>42248</c:v>
                </c:pt>
                <c:pt idx="166">
                  <c:v>42278</c:v>
                </c:pt>
                <c:pt idx="167">
                  <c:v>42309</c:v>
                </c:pt>
                <c:pt idx="168">
                  <c:v>42339</c:v>
                </c:pt>
                <c:pt idx="169">
                  <c:v>42370</c:v>
                </c:pt>
                <c:pt idx="170">
                  <c:v>42401</c:v>
                </c:pt>
                <c:pt idx="171">
                  <c:v>42430</c:v>
                </c:pt>
                <c:pt idx="172">
                  <c:v>42461</c:v>
                </c:pt>
                <c:pt idx="173">
                  <c:v>42491</c:v>
                </c:pt>
                <c:pt idx="174">
                  <c:v>42522</c:v>
                </c:pt>
                <c:pt idx="175">
                  <c:v>42552</c:v>
                </c:pt>
                <c:pt idx="176">
                  <c:v>42583</c:v>
                </c:pt>
                <c:pt idx="177">
                  <c:v>42614</c:v>
                </c:pt>
                <c:pt idx="178">
                  <c:v>42644</c:v>
                </c:pt>
                <c:pt idx="179">
                  <c:v>42675</c:v>
                </c:pt>
                <c:pt idx="180">
                  <c:v>42705</c:v>
                </c:pt>
                <c:pt idx="181">
                  <c:v>42736</c:v>
                </c:pt>
                <c:pt idx="182">
                  <c:v>42767</c:v>
                </c:pt>
                <c:pt idx="183">
                  <c:v>42795</c:v>
                </c:pt>
                <c:pt idx="184">
                  <c:v>42826</c:v>
                </c:pt>
                <c:pt idx="185">
                  <c:v>42856</c:v>
                </c:pt>
                <c:pt idx="186">
                  <c:v>42887</c:v>
                </c:pt>
                <c:pt idx="187">
                  <c:v>42917</c:v>
                </c:pt>
                <c:pt idx="188">
                  <c:v>42948</c:v>
                </c:pt>
                <c:pt idx="189">
                  <c:v>42979</c:v>
                </c:pt>
                <c:pt idx="190">
                  <c:v>43009</c:v>
                </c:pt>
                <c:pt idx="191">
                  <c:v>43040</c:v>
                </c:pt>
                <c:pt idx="192">
                  <c:v>43070</c:v>
                </c:pt>
                <c:pt idx="193">
                  <c:v>43101</c:v>
                </c:pt>
                <c:pt idx="194">
                  <c:v>43132</c:v>
                </c:pt>
                <c:pt idx="195">
                  <c:v>43160</c:v>
                </c:pt>
                <c:pt idx="196">
                  <c:v>43191</c:v>
                </c:pt>
                <c:pt idx="197">
                  <c:v>43221</c:v>
                </c:pt>
                <c:pt idx="198">
                  <c:v>43252</c:v>
                </c:pt>
                <c:pt idx="199">
                  <c:v>43282</c:v>
                </c:pt>
                <c:pt idx="200">
                  <c:v>43313</c:v>
                </c:pt>
                <c:pt idx="201">
                  <c:v>43344</c:v>
                </c:pt>
                <c:pt idx="202">
                  <c:v>43374</c:v>
                </c:pt>
                <c:pt idx="203">
                  <c:v>43405</c:v>
                </c:pt>
                <c:pt idx="204">
                  <c:v>43435</c:v>
                </c:pt>
                <c:pt idx="205">
                  <c:v>43466</c:v>
                </c:pt>
                <c:pt idx="206">
                  <c:v>43497</c:v>
                </c:pt>
                <c:pt idx="207">
                  <c:v>43525</c:v>
                </c:pt>
                <c:pt idx="208">
                  <c:v>43556</c:v>
                </c:pt>
                <c:pt idx="209">
                  <c:v>43586</c:v>
                </c:pt>
                <c:pt idx="210">
                  <c:v>43617</c:v>
                </c:pt>
                <c:pt idx="211">
                  <c:v>43647</c:v>
                </c:pt>
                <c:pt idx="212">
                  <c:v>43678</c:v>
                </c:pt>
                <c:pt idx="213">
                  <c:v>43709</c:v>
                </c:pt>
                <c:pt idx="214">
                  <c:v>43739</c:v>
                </c:pt>
                <c:pt idx="215">
                  <c:v>43770</c:v>
                </c:pt>
                <c:pt idx="216">
                  <c:v>43800</c:v>
                </c:pt>
                <c:pt idx="217">
                  <c:v>43831</c:v>
                </c:pt>
                <c:pt idx="218">
                  <c:v>43862</c:v>
                </c:pt>
                <c:pt idx="219">
                  <c:v>43891</c:v>
                </c:pt>
                <c:pt idx="220">
                  <c:v>43922</c:v>
                </c:pt>
                <c:pt idx="221">
                  <c:v>43952</c:v>
                </c:pt>
                <c:pt idx="222">
                  <c:v>43983</c:v>
                </c:pt>
                <c:pt idx="223">
                  <c:v>44013</c:v>
                </c:pt>
                <c:pt idx="224">
                  <c:v>44044</c:v>
                </c:pt>
                <c:pt idx="225">
                  <c:v>44075</c:v>
                </c:pt>
                <c:pt idx="226">
                  <c:v>44105</c:v>
                </c:pt>
                <c:pt idx="227">
                  <c:v>44136</c:v>
                </c:pt>
                <c:pt idx="228">
                  <c:v>44166</c:v>
                </c:pt>
                <c:pt idx="229">
                  <c:v>44197</c:v>
                </c:pt>
                <c:pt idx="230">
                  <c:v>44228</c:v>
                </c:pt>
                <c:pt idx="231">
                  <c:v>44256</c:v>
                </c:pt>
                <c:pt idx="232">
                  <c:v>44287</c:v>
                </c:pt>
                <c:pt idx="233">
                  <c:v>44317</c:v>
                </c:pt>
                <c:pt idx="234">
                  <c:v>44348</c:v>
                </c:pt>
                <c:pt idx="235">
                  <c:v>44378</c:v>
                </c:pt>
                <c:pt idx="236">
                  <c:v>44409</c:v>
                </c:pt>
                <c:pt idx="237">
                  <c:v>44440</c:v>
                </c:pt>
                <c:pt idx="238">
                  <c:v>44470</c:v>
                </c:pt>
                <c:pt idx="239">
                  <c:v>44501</c:v>
                </c:pt>
                <c:pt idx="240">
                  <c:v>44531</c:v>
                </c:pt>
                <c:pt idx="241">
                  <c:v>44562</c:v>
                </c:pt>
                <c:pt idx="242">
                  <c:v>44593</c:v>
                </c:pt>
                <c:pt idx="243">
                  <c:v>44621</c:v>
                </c:pt>
                <c:pt idx="244">
                  <c:v>44652</c:v>
                </c:pt>
                <c:pt idx="245">
                  <c:v>44682</c:v>
                </c:pt>
                <c:pt idx="246">
                  <c:v>44713</c:v>
                </c:pt>
                <c:pt idx="247">
                  <c:v>44743</c:v>
                </c:pt>
                <c:pt idx="248">
                  <c:v>44774</c:v>
                </c:pt>
                <c:pt idx="249">
                  <c:v>44805</c:v>
                </c:pt>
                <c:pt idx="250">
                  <c:v>44835</c:v>
                </c:pt>
                <c:pt idx="251">
                  <c:v>44866</c:v>
                </c:pt>
                <c:pt idx="252">
                  <c:v>44896</c:v>
                </c:pt>
                <c:pt idx="253">
                  <c:v>44927</c:v>
                </c:pt>
                <c:pt idx="254">
                  <c:v>44958</c:v>
                </c:pt>
                <c:pt idx="255">
                  <c:v>44986</c:v>
                </c:pt>
                <c:pt idx="256">
                  <c:v>45017</c:v>
                </c:pt>
                <c:pt idx="257">
                  <c:v>45047</c:v>
                </c:pt>
                <c:pt idx="258">
                  <c:v>45078</c:v>
                </c:pt>
                <c:pt idx="259">
                  <c:v>45108</c:v>
                </c:pt>
                <c:pt idx="260">
                  <c:v>45139</c:v>
                </c:pt>
                <c:pt idx="261">
                  <c:v>45170</c:v>
                </c:pt>
                <c:pt idx="262">
                  <c:v>45200</c:v>
                </c:pt>
                <c:pt idx="263">
                  <c:v>45231</c:v>
                </c:pt>
                <c:pt idx="264">
                  <c:v>45261</c:v>
                </c:pt>
                <c:pt idx="265">
                  <c:v>45292</c:v>
                </c:pt>
                <c:pt idx="266">
                  <c:v>45323</c:v>
                </c:pt>
                <c:pt idx="267">
                  <c:v>45352</c:v>
                </c:pt>
                <c:pt idx="268">
                  <c:v>45383</c:v>
                </c:pt>
                <c:pt idx="269">
                  <c:v>45413</c:v>
                </c:pt>
                <c:pt idx="270">
                  <c:v>45444</c:v>
                </c:pt>
                <c:pt idx="271">
                  <c:v>45474</c:v>
                </c:pt>
                <c:pt idx="272">
                  <c:v>45505</c:v>
                </c:pt>
                <c:pt idx="273">
                  <c:v>45536</c:v>
                </c:pt>
                <c:pt idx="274">
                  <c:v>45566</c:v>
                </c:pt>
              </c:numCache>
            </c:numRef>
          </c:cat>
          <c:val>
            <c:numRef>
              <c:f>Data!$D$18:$D$292</c:f>
              <c:numCache>
                <c:formatCode>0.00</c:formatCode>
                <c:ptCount val="275"/>
                <c:pt idx="0">
                  <c:v>1.0335246458224554</c:v>
                </c:pt>
                <c:pt idx="1">
                  <c:v>1.0388079987197361</c:v>
                </c:pt>
                <c:pt idx="2">
                  <c:v>1.0402508891136517</c:v>
                </c:pt>
                <c:pt idx="3">
                  <c:v>1.0686394733248161</c:v>
                </c:pt>
                <c:pt idx="4">
                  <c:v>1.0617754569267486</c:v>
                </c:pt>
                <c:pt idx="5">
                  <c:v>1.1023716150572245</c:v>
                </c:pt>
                <c:pt idx="6">
                  <c:v>1.0327889174000111</c:v>
                </c:pt>
                <c:pt idx="7">
                  <c:v>0.99420638711046172</c:v>
                </c:pt>
                <c:pt idx="8">
                  <c:v>0.99757442279863118</c:v>
                </c:pt>
                <c:pt idx="9">
                  <c:v>1.0126604935176389</c:v>
                </c:pt>
                <c:pt idx="10">
                  <c:v>0.96933642212938009</c:v>
                </c:pt>
                <c:pt idx="11">
                  <c:v>1.0213551869204824</c:v>
                </c:pt>
                <c:pt idx="12">
                  <c:v>1.0368149939093489</c:v>
                </c:pt>
                <c:pt idx="13">
                  <c:v>1.032165609885096</c:v>
                </c:pt>
                <c:pt idx="14">
                  <c:v>0.98770743320966747</c:v>
                </c:pt>
                <c:pt idx="15">
                  <c:v>0.98636139780050547</c:v>
                </c:pt>
                <c:pt idx="16">
                  <c:v>1.0023337548716271</c:v>
                </c:pt>
                <c:pt idx="17">
                  <c:v>0.97133658473235807</c:v>
                </c:pt>
                <c:pt idx="18">
                  <c:v>1.0592425774785077</c:v>
                </c:pt>
                <c:pt idx="19">
                  <c:v>1.0266134003100171</c:v>
                </c:pt>
                <c:pt idx="20">
                  <c:v>1.0064243731986813</c:v>
                </c:pt>
                <c:pt idx="21">
                  <c:v>0.97364624664097121</c:v>
                </c:pt>
                <c:pt idx="22">
                  <c:v>0.99094973497619443</c:v>
                </c:pt>
                <c:pt idx="23">
                  <c:v>0.98215661761191997</c:v>
                </c:pt>
                <c:pt idx="24">
                  <c:v>0.94733896123844197</c:v>
                </c:pt>
                <c:pt idx="25">
                  <c:v>0.99563258876281224</c:v>
                </c:pt>
                <c:pt idx="26">
                  <c:v>1.0195508920473841</c:v>
                </c:pt>
                <c:pt idx="27">
                  <c:v>1.0155533972619255</c:v>
                </c:pt>
                <c:pt idx="28">
                  <c:v>1.0298636380014266</c:v>
                </c:pt>
                <c:pt idx="29">
                  <c:v>1.008494090735244</c:v>
                </c:pt>
                <c:pt idx="30">
                  <c:v>0.93778560598343408</c:v>
                </c:pt>
                <c:pt idx="31">
                  <c:v>0.98325054193869599</c:v>
                </c:pt>
                <c:pt idx="32">
                  <c:v>1.0345635416635675</c:v>
                </c:pt>
                <c:pt idx="33">
                  <c:v>1.0247000911587405</c:v>
                </c:pt>
                <c:pt idx="34">
                  <c:v>1.0380449796160323</c:v>
                </c:pt>
                <c:pt idx="35">
                  <c:v>1.058962240942992</c:v>
                </c:pt>
                <c:pt idx="36">
                  <c:v>1.0514125012093745</c:v>
                </c:pt>
                <c:pt idx="37">
                  <c:v>1.006637480860993</c:v>
                </c:pt>
                <c:pt idx="38">
                  <c:v>1.0156925500465228</c:v>
                </c:pt>
                <c:pt idx="39">
                  <c:v>0.99446103544847408</c:v>
                </c:pt>
                <c:pt idx="40">
                  <c:v>0.9669245652995585</c:v>
                </c:pt>
                <c:pt idx="41">
                  <c:v>0.99636655939715757</c:v>
                </c:pt>
                <c:pt idx="42">
                  <c:v>1.0219308561760356</c:v>
                </c:pt>
                <c:pt idx="43">
                  <c:v>1.0220569316532635</c:v>
                </c:pt>
                <c:pt idx="44">
                  <c:v>0.98567899406644954</c:v>
                </c:pt>
                <c:pt idx="45">
                  <c:v>1.0350876556770396</c:v>
                </c:pt>
                <c:pt idx="46">
                  <c:v>1.002036856870633</c:v>
                </c:pt>
                <c:pt idx="47">
                  <c:v>0.9997664718310727</c:v>
                </c:pt>
                <c:pt idx="48">
                  <c:v>1.0008280306504991</c:v>
                </c:pt>
                <c:pt idx="49">
                  <c:v>1.0066654935667105</c:v>
                </c:pt>
                <c:pt idx="50">
                  <c:v>0.98066883034123109</c:v>
                </c:pt>
                <c:pt idx="51">
                  <c:v>0.99792855243351108</c:v>
                </c:pt>
                <c:pt idx="52">
                  <c:v>1.0027040821599613</c:v>
                </c:pt>
                <c:pt idx="53">
                  <c:v>0.96219183109155382</c:v>
                </c:pt>
                <c:pt idx="54">
                  <c:v>1.0010301243761957</c:v>
                </c:pt>
                <c:pt idx="55">
                  <c:v>1.0122943954104335</c:v>
                </c:pt>
                <c:pt idx="56">
                  <c:v>1.0276317286292374</c:v>
                </c:pt>
                <c:pt idx="57">
                  <c:v>1.0083302047769855</c:v>
                </c:pt>
                <c:pt idx="58">
                  <c:v>1.0486658331408967</c:v>
                </c:pt>
                <c:pt idx="59">
                  <c:v>1.0017356460309943</c:v>
                </c:pt>
                <c:pt idx="60">
                  <c:v>0.96365326045659538</c:v>
                </c:pt>
                <c:pt idx="61">
                  <c:v>0.95158707236347029</c:v>
                </c:pt>
                <c:pt idx="62">
                  <c:v>0.98219748500191384</c:v>
                </c:pt>
                <c:pt idx="63">
                  <c:v>0.98306958053257643</c:v>
                </c:pt>
                <c:pt idx="64">
                  <c:v>0.98855256077803322</c:v>
                </c:pt>
                <c:pt idx="65">
                  <c:v>1.015300007043201</c:v>
                </c:pt>
                <c:pt idx="66">
                  <c:v>1.051720923640042</c:v>
                </c:pt>
                <c:pt idx="67">
                  <c:v>1.0684648513255222</c:v>
                </c:pt>
                <c:pt idx="68">
                  <c:v>1.0685577308988445</c:v>
                </c:pt>
                <c:pt idx="69">
                  <c:v>1.039747759343193</c:v>
                </c:pt>
                <c:pt idx="70">
                  <c:v>1.0127456758076465</c:v>
                </c:pt>
                <c:pt idx="71">
                  <c:v>1.0341280508229678</c:v>
                </c:pt>
                <c:pt idx="72">
                  <c:v>1.0418150385901297</c:v>
                </c:pt>
                <c:pt idx="73">
                  <c:v>1.0574134446608778</c:v>
                </c:pt>
                <c:pt idx="74">
                  <c:v>1.0124222006474703</c:v>
                </c:pt>
                <c:pt idx="75">
                  <c:v>1.0238279329594371</c:v>
                </c:pt>
                <c:pt idx="76">
                  <c:v>1.0391985118863269</c:v>
                </c:pt>
                <c:pt idx="77">
                  <c:v>1.0100064714254358</c:v>
                </c:pt>
                <c:pt idx="78">
                  <c:v>0.96932610177003642</c:v>
                </c:pt>
                <c:pt idx="79">
                  <c:v>0.95791392263106168</c:v>
                </c:pt>
                <c:pt idx="80">
                  <c:v>0.93513384175965786</c:v>
                </c:pt>
                <c:pt idx="81">
                  <c:v>0.93648759529628389</c:v>
                </c:pt>
                <c:pt idx="82">
                  <c:v>0.95861058756779161</c:v>
                </c:pt>
                <c:pt idx="83">
                  <c:v>0.92533474961667528</c:v>
                </c:pt>
                <c:pt idx="84">
                  <c:v>0.95747602091190065</c:v>
                </c:pt>
                <c:pt idx="85">
                  <c:v>0.93367315162002618</c:v>
                </c:pt>
                <c:pt idx="86">
                  <c:v>0.97178848936544293</c:v>
                </c:pt>
                <c:pt idx="87">
                  <c:v>0.93045626593179043</c:v>
                </c:pt>
                <c:pt idx="88">
                  <c:v>0.89712960339373826</c:v>
                </c:pt>
                <c:pt idx="89">
                  <c:v>0.91529814122537467</c:v>
                </c:pt>
                <c:pt idx="90">
                  <c:v>0.87948686484454563</c:v>
                </c:pt>
                <c:pt idx="91">
                  <c:v>0.85910001726319218</c:v>
                </c:pt>
                <c:pt idx="92">
                  <c:v>0.88603579062018101</c:v>
                </c:pt>
                <c:pt idx="93">
                  <c:v>0.88022946097396915</c:v>
                </c:pt>
                <c:pt idx="94">
                  <c:v>0.84728175961697738</c:v>
                </c:pt>
                <c:pt idx="95">
                  <c:v>0.91413630009121594</c:v>
                </c:pt>
                <c:pt idx="96">
                  <c:v>0.93912974829638385</c:v>
                </c:pt>
                <c:pt idx="97">
                  <c:v>0.95342530021406902</c:v>
                </c:pt>
                <c:pt idx="98">
                  <c:v>0.9712587780775841</c:v>
                </c:pt>
                <c:pt idx="99">
                  <c:v>1.0228590970863414</c:v>
                </c:pt>
                <c:pt idx="100">
                  <c:v>1.0701869038344864</c:v>
                </c:pt>
                <c:pt idx="101">
                  <c:v>1.0654956665573467</c:v>
                </c:pt>
                <c:pt idx="102">
                  <c:v>1.0892656852122062</c:v>
                </c:pt>
                <c:pt idx="103">
                  <c:v>1.0877160409087907</c:v>
                </c:pt>
                <c:pt idx="104">
                  <c:v>1.0050887877754962</c:v>
                </c:pt>
                <c:pt idx="105">
                  <c:v>1.0392914508200686</c:v>
                </c:pt>
                <c:pt idx="106">
                  <c:v>1.0500393511370203</c:v>
                </c:pt>
                <c:pt idx="107">
                  <c:v>1.0498006049685542</c:v>
                </c:pt>
                <c:pt idx="108">
                  <c:v>1.046989612979546</c:v>
                </c:pt>
                <c:pt idx="109">
                  <c:v>1.0738596832415324</c:v>
                </c:pt>
                <c:pt idx="110">
                  <c:v>1.0372598255095717</c:v>
                </c:pt>
                <c:pt idx="111">
                  <c:v>1.0759417091561669</c:v>
                </c:pt>
                <c:pt idx="112">
                  <c:v>1.0440829985783597</c:v>
                </c:pt>
                <c:pt idx="113">
                  <c:v>1.0549795270081512</c:v>
                </c:pt>
                <c:pt idx="114">
                  <c:v>1.0720954622977783</c:v>
                </c:pt>
                <c:pt idx="115">
                  <c:v>1.0621534737936404</c:v>
                </c:pt>
                <c:pt idx="116">
                  <c:v>1.1098791142872821</c:v>
                </c:pt>
                <c:pt idx="117">
                  <c:v>1.104937454247761</c:v>
                </c:pt>
                <c:pt idx="118">
                  <c:v>1.0772923190203509</c:v>
                </c:pt>
                <c:pt idx="119">
                  <c:v>1.0584698545400402</c:v>
                </c:pt>
                <c:pt idx="120">
                  <c:v>1.0471074432187724</c:v>
                </c:pt>
                <c:pt idx="121">
                  <c:v>1.0234030269447796</c:v>
                </c:pt>
                <c:pt idx="122">
                  <c:v>0.99130163810858529</c:v>
                </c:pt>
                <c:pt idx="123">
                  <c:v>0.95926732757021083</c:v>
                </c:pt>
                <c:pt idx="124">
                  <c:v>0.95751076439206961</c:v>
                </c:pt>
                <c:pt idx="125">
                  <c:v>0.94585373847221244</c:v>
                </c:pt>
                <c:pt idx="126">
                  <c:v>0.94071944723627365</c:v>
                </c:pt>
                <c:pt idx="127">
                  <c:v>0.95475678059198588</c:v>
                </c:pt>
                <c:pt idx="128">
                  <c:v>0.93890620874249098</c:v>
                </c:pt>
                <c:pt idx="129">
                  <c:v>0.90665461199574215</c:v>
                </c:pt>
                <c:pt idx="130">
                  <c:v>0.91418694124978039</c:v>
                </c:pt>
                <c:pt idx="131">
                  <c:v>0.89997230918137916</c:v>
                </c:pt>
                <c:pt idx="132">
                  <c:v>0.89743040632042237</c:v>
                </c:pt>
                <c:pt idx="133">
                  <c:v>0.92217024286250304</c:v>
                </c:pt>
                <c:pt idx="134">
                  <c:v>0.94229360460030631</c:v>
                </c:pt>
                <c:pt idx="135">
                  <c:v>0.92319238130624526</c:v>
                </c:pt>
                <c:pt idx="136">
                  <c:v>0.93213411159668613</c:v>
                </c:pt>
                <c:pt idx="137">
                  <c:v>0.93598747969418816</c:v>
                </c:pt>
                <c:pt idx="138">
                  <c:v>0.94365296899369022</c:v>
                </c:pt>
                <c:pt idx="139">
                  <c:v>0.93725749049408891</c:v>
                </c:pt>
                <c:pt idx="140">
                  <c:v>0.97920818821787881</c:v>
                </c:pt>
                <c:pt idx="141">
                  <c:v>1.0515348227885688</c:v>
                </c:pt>
                <c:pt idx="142">
                  <c:v>1.0010811792326486</c:v>
                </c:pt>
                <c:pt idx="143">
                  <c:v>1.046434492670514</c:v>
                </c:pt>
                <c:pt idx="144">
                  <c:v>1.0423407237750639</c:v>
                </c:pt>
                <c:pt idx="145">
                  <c:v>1.0088864929239543</c:v>
                </c:pt>
                <c:pt idx="146">
                  <c:v>1.0150287551417301</c:v>
                </c:pt>
                <c:pt idx="147">
                  <c:v>1.0519948252853366</c:v>
                </c:pt>
                <c:pt idx="148">
                  <c:v>1.0384160944175271</c:v>
                </c:pt>
                <c:pt idx="149">
                  <c:v>1.0145878794287511</c:v>
                </c:pt>
                <c:pt idx="150">
                  <c:v>1.0009365076062349</c:v>
                </c:pt>
                <c:pt idx="151">
                  <c:v>0.97014916643903748</c:v>
                </c:pt>
                <c:pt idx="152">
                  <c:v>0.95549283435021271</c:v>
                </c:pt>
                <c:pt idx="153">
                  <c:v>0.92634039945199376</c:v>
                </c:pt>
                <c:pt idx="154">
                  <c:v>0.9627964941671604</c:v>
                </c:pt>
                <c:pt idx="155">
                  <c:v>0.95885730751023934</c:v>
                </c:pt>
                <c:pt idx="156">
                  <c:v>0.96064008523542188</c:v>
                </c:pt>
                <c:pt idx="157">
                  <c:v>0.98641247543793642</c:v>
                </c:pt>
                <c:pt idx="158">
                  <c:v>1.02681830650096</c:v>
                </c:pt>
                <c:pt idx="159">
                  <c:v>1.0227806633763659</c:v>
                </c:pt>
                <c:pt idx="160">
                  <c:v>1.0112646765738054</c:v>
                </c:pt>
                <c:pt idx="161">
                  <c:v>1.0010483938606056</c:v>
                </c:pt>
                <c:pt idx="162">
                  <c:v>1.0202807467284116</c:v>
                </c:pt>
                <c:pt idx="163">
                  <c:v>1.0411427611830644</c:v>
                </c:pt>
                <c:pt idx="164">
                  <c:v>1.0290740390872641</c:v>
                </c:pt>
                <c:pt idx="165">
                  <c:v>1.0146566506083123</c:v>
                </c:pt>
                <c:pt idx="166">
                  <c:v>1.0242729193921707</c:v>
                </c:pt>
                <c:pt idx="167">
                  <c:v>0.97624467979807983</c:v>
                </c:pt>
                <c:pt idx="168">
                  <c:v>0.98516866244032242</c:v>
                </c:pt>
                <c:pt idx="169">
                  <c:v>0.98204618382975373</c:v>
                </c:pt>
                <c:pt idx="170">
                  <c:v>0.97102452531645567</c:v>
                </c:pt>
                <c:pt idx="171">
                  <c:v>0.96114416387279311</c:v>
                </c:pt>
                <c:pt idx="172">
                  <c:v>1.014237047830967</c:v>
                </c:pt>
                <c:pt idx="173">
                  <c:v>1.0505494955283139</c:v>
                </c:pt>
                <c:pt idx="174">
                  <c:v>0.97457976188141149</c:v>
                </c:pt>
                <c:pt idx="175">
                  <c:v>0.97423535611812695</c:v>
                </c:pt>
                <c:pt idx="176">
                  <c:v>0.96778747181648861</c:v>
                </c:pt>
                <c:pt idx="177">
                  <c:v>0.96679251250222376</c:v>
                </c:pt>
                <c:pt idx="178">
                  <c:v>0.98535181794402305</c:v>
                </c:pt>
                <c:pt idx="179">
                  <c:v>1.013881110488839</c:v>
                </c:pt>
                <c:pt idx="180">
                  <c:v>0.99554310956850989</c:v>
                </c:pt>
                <c:pt idx="181">
                  <c:v>0.97933365523901494</c:v>
                </c:pt>
                <c:pt idx="182">
                  <c:v>0.96104292722032414</c:v>
                </c:pt>
                <c:pt idx="183">
                  <c:v>0.99582419274140788</c:v>
                </c:pt>
                <c:pt idx="184">
                  <c:v>0.97738099848948445</c:v>
                </c:pt>
                <c:pt idx="185">
                  <c:v>0.9636744935026027</c:v>
                </c:pt>
                <c:pt idx="186">
                  <c:v>1.0268830692629831</c:v>
                </c:pt>
                <c:pt idx="187">
                  <c:v>1.0477035208823415</c:v>
                </c:pt>
                <c:pt idx="188">
                  <c:v>1.0228855536106662</c:v>
                </c:pt>
                <c:pt idx="189">
                  <c:v>1.0086692206694365</c:v>
                </c:pt>
                <c:pt idx="190">
                  <c:v>1.0012995798618529</c:v>
                </c:pt>
                <c:pt idx="191">
                  <c:v>1.0314353393769926</c:v>
                </c:pt>
                <c:pt idx="192">
                  <c:v>1.0627445596210614</c:v>
                </c:pt>
                <c:pt idx="193">
                  <c:v>1.0697382129686286</c:v>
                </c:pt>
                <c:pt idx="194">
                  <c:v>1.0910373915159379</c:v>
                </c:pt>
                <c:pt idx="195">
                  <c:v>1.1071115293217013</c:v>
                </c:pt>
                <c:pt idx="196">
                  <c:v>1.0773340079164311</c:v>
                </c:pt>
                <c:pt idx="197">
                  <c:v>1.0860364011495101</c:v>
                </c:pt>
                <c:pt idx="198">
                  <c:v>1.050338026956035</c:v>
                </c:pt>
                <c:pt idx="199">
                  <c:v>0.97259597415772336</c:v>
                </c:pt>
                <c:pt idx="200">
                  <c:v>0.97909347386351542</c:v>
                </c:pt>
                <c:pt idx="201">
                  <c:v>0.98457303974221266</c:v>
                </c:pt>
                <c:pt idx="202">
                  <c:v>0.97740468420293847</c:v>
                </c:pt>
                <c:pt idx="203">
                  <c:v>0.9591353698085574</c:v>
                </c:pt>
                <c:pt idx="204">
                  <c:v>0.95745281497015644</c:v>
                </c:pt>
                <c:pt idx="205">
                  <c:v>0.95071805675401277</c:v>
                </c:pt>
                <c:pt idx="206">
                  <c:v>0.95909880638245271</c:v>
                </c:pt>
                <c:pt idx="207">
                  <c:v>0.90750408746100131</c:v>
                </c:pt>
                <c:pt idx="208">
                  <c:v>0.90148089050487501</c:v>
                </c:pt>
                <c:pt idx="209">
                  <c:v>0.89938555008955423</c:v>
                </c:pt>
                <c:pt idx="210">
                  <c:v>0.9600850497428941</c:v>
                </c:pt>
                <c:pt idx="211">
                  <c:v>1.0187511763724881</c:v>
                </c:pt>
                <c:pt idx="212">
                  <c:v>1.0265258230142957</c:v>
                </c:pt>
                <c:pt idx="213">
                  <c:v>0.9964838070459715</c:v>
                </c:pt>
                <c:pt idx="214">
                  <c:v>1.0456865181541477</c:v>
                </c:pt>
                <c:pt idx="215">
                  <c:v>1.0344364826077022</c:v>
                </c:pt>
                <c:pt idx="216">
                  <c:v>1.0213867339186284</c:v>
                </c:pt>
                <c:pt idx="217">
                  <c:v>0.99709307461507846</c:v>
                </c:pt>
                <c:pt idx="218">
                  <c:v>0.98379746597346263</c:v>
                </c:pt>
                <c:pt idx="219">
                  <c:v>0.95641409446028025</c:v>
                </c:pt>
                <c:pt idx="220">
                  <c:v>0.94959131269305752</c:v>
                </c:pt>
                <c:pt idx="221">
                  <c:v>0.93674528926505751</c:v>
                </c:pt>
                <c:pt idx="222">
                  <c:v>0.93111768733796219</c:v>
                </c:pt>
                <c:pt idx="223">
                  <c:v>0.93092058161789293</c:v>
                </c:pt>
                <c:pt idx="224">
                  <c:v>0.95941422181402414</c:v>
                </c:pt>
                <c:pt idx="225">
                  <c:v>1.0007164395998283</c:v>
                </c:pt>
                <c:pt idx="226">
                  <c:v>0.97074860371903138</c:v>
                </c:pt>
                <c:pt idx="227">
                  <c:v>0.9668742274228721</c:v>
                </c:pt>
                <c:pt idx="228">
                  <c:v>0.92079955969185545</c:v>
                </c:pt>
                <c:pt idx="229">
                  <c:v>0.92676389217173416</c:v>
                </c:pt>
                <c:pt idx="230">
                  <c:v>0.93883400980352916</c:v>
                </c:pt>
                <c:pt idx="231">
                  <c:v>1.0231990599713643</c:v>
                </c:pt>
                <c:pt idx="232">
                  <c:v>1.0389615329257433</c:v>
                </c:pt>
                <c:pt idx="233">
                  <c:v>1.0863631622450705</c:v>
                </c:pt>
                <c:pt idx="234">
                  <c:v>1.0480025756887548</c:v>
                </c:pt>
                <c:pt idx="235">
                  <c:v>1.0639393032298681</c:v>
                </c:pt>
                <c:pt idx="236">
                  <c:v>1.0313345581861251</c:v>
                </c:pt>
                <c:pt idx="237">
                  <c:v>1.015055285649318</c:v>
                </c:pt>
                <c:pt idx="238">
                  <c:v>0.97827927716010843</c:v>
                </c:pt>
                <c:pt idx="239">
                  <c:v>0.99267454069412897</c:v>
                </c:pt>
                <c:pt idx="240">
                  <c:v>1.0337098614399465</c:v>
                </c:pt>
                <c:pt idx="241">
                  <c:v>1.0676926897669685</c:v>
                </c:pt>
                <c:pt idx="242">
                  <c:v>1.0509018228977476</c:v>
                </c:pt>
                <c:pt idx="243">
                  <c:v>0.98742082834759204</c:v>
                </c:pt>
                <c:pt idx="244">
                  <c:v>1.0222287973871118</c:v>
                </c:pt>
                <c:pt idx="245">
                  <c:v>1.000352249425094</c:v>
                </c:pt>
                <c:pt idx="246">
                  <c:v>1.0473118520886648</c:v>
                </c:pt>
                <c:pt idx="247">
                  <c:v>1.0387439951836328</c:v>
                </c:pt>
                <c:pt idx="248">
                  <c:v>1.0187558992181232</c:v>
                </c:pt>
                <c:pt idx="249">
                  <c:v>1.0314527624925418</c:v>
                </c:pt>
                <c:pt idx="250">
                  <c:v>1.0336044900426675</c:v>
                </c:pt>
                <c:pt idx="251">
                  <c:v>1.0643103177460089</c:v>
                </c:pt>
                <c:pt idx="252">
                  <c:v>1.0643581072175263</c:v>
                </c:pt>
                <c:pt idx="253">
                  <c:v>1.051417622157319</c:v>
                </c:pt>
                <c:pt idx="254">
                  <c:v>1.0553716984074621</c:v>
                </c:pt>
                <c:pt idx="255">
                  <c:v>1.0690532200174436</c:v>
                </c:pt>
                <c:pt idx="256">
                  <c:v>1.1151315599686786</c:v>
                </c:pt>
                <c:pt idx="257">
                  <c:v>1.1036328068500048</c:v>
                </c:pt>
                <c:pt idx="258">
                  <c:v>1.0426197844959006</c:v>
                </c:pt>
                <c:pt idx="259">
                  <c:v>1.0527726521724921</c:v>
                </c:pt>
                <c:pt idx="260">
                  <c:v>1.0718255923264175</c:v>
                </c:pt>
                <c:pt idx="261">
                  <c:v>1.0538187651703803</c:v>
                </c:pt>
                <c:pt idx="262">
                  <c:v>1.0488514139970262</c:v>
                </c:pt>
                <c:pt idx="263">
                  <c:v>0.95421975238099044</c:v>
                </c:pt>
                <c:pt idx="264">
                  <c:v>0.9480007283376618</c:v>
                </c:pt>
                <c:pt idx="265">
                  <c:v>0.9486503745727809</c:v>
                </c:pt>
                <c:pt idx="266">
                  <c:v>0.94326037831771681</c:v>
                </c:pt>
                <c:pt idx="267">
                  <c:v>0.94012863010962977</c:v>
                </c:pt>
                <c:pt idx="268">
                  <c:v>0.89126784472904608</c:v>
                </c:pt>
                <c:pt idx="269">
                  <c:v>0.89176687558943213</c:v>
                </c:pt>
                <c:pt idx="270">
                  <c:v>0.89614563468482833</c:v>
                </c:pt>
                <c:pt idx="271">
                  <c:v>0.90225556659920547</c:v>
                </c:pt>
                <c:pt idx="272">
                  <c:v>0.92815999479132139</c:v>
                </c:pt>
                <c:pt idx="273">
                  <c:v>0.93400385397605912</c:v>
                </c:pt>
                <c:pt idx="274">
                  <c:v>0.96211665986774886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38-4C56-A936-C6C559CC6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296480"/>
        <c:axId val="620296120"/>
      </c:lineChart>
      <c:dateAx>
        <c:axId val="3919059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91905584"/>
        <c:crosses val="autoZero"/>
        <c:auto val="1"/>
        <c:lblOffset val="100"/>
        <c:baseTimeUnit val="months"/>
      </c:dateAx>
      <c:valAx>
        <c:axId val="3919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_);\(&quot;k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91905912"/>
        <c:crosses val="autoZero"/>
        <c:crossBetween val="between"/>
      </c:valAx>
      <c:valAx>
        <c:axId val="62029612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20296480"/>
        <c:crosses val="max"/>
        <c:crossBetween val="between"/>
      </c:valAx>
      <c:dateAx>
        <c:axId val="62029648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202961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Delta, Orders vs.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Data!$D$6</c:f>
              <c:strCache>
                <c:ptCount val="1"/>
                <c:pt idx="0">
                  <c:v>O/S-Ratio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Data!$A$18:$A$269</c:f>
              <c:numCache>
                <c:formatCode>mmm\-yy</c:formatCode>
                <c:ptCount val="252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  <c:pt idx="12">
                  <c:v>37591</c:v>
                </c:pt>
                <c:pt idx="13">
                  <c:v>37622</c:v>
                </c:pt>
                <c:pt idx="14">
                  <c:v>37653</c:v>
                </c:pt>
                <c:pt idx="15">
                  <c:v>37681</c:v>
                </c:pt>
                <c:pt idx="16">
                  <c:v>37712</c:v>
                </c:pt>
                <c:pt idx="17">
                  <c:v>37742</c:v>
                </c:pt>
                <c:pt idx="18">
                  <c:v>37773</c:v>
                </c:pt>
                <c:pt idx="19">
                  <c:v>37803</c:v>
                </c:pt>
                <c:pt idx="20">
                  <c:v>37834</c:v>
                </c:pt>
                <c:pt idx="21">
                  <c:v>37865</c:v>
                </c:pt>
                <c:pt idx="22">
                  <c:v>37895</c:v>
                </c:pt>
                <c:pt idx="23">
                  <c:v>37926</c:v>
                </c:pt>
                <c:pt idx="24">
                  <c:v>37956</c:v>
                </c:pt>
                <c:pt idx="25">
                  <c:v>37987</c:v>
                </c:pt>
                <c:pt idx="26">
                  <c:v>38018</c:v>
                </c:pt>
                <c:pt idx="27">
                  <c:v>38047</c:v>
                </c:pt>
                <c:pt idx="28">
                  <c:v>38078</c:v>
                </c:pt>
                <c:pt idx="29">
                  <c:v>38108</c:v>
                </c:pt>
                <c:pt idx="30">
                  <c:v>38139</c:v>
                </c:pt>
                <c:pt idx="31">
                  <c:v>38169</c:v>
                </c:pt>
                <c:pt idx="32">
                  <c:v>38200</c:v>
                </c:pt>
                <c:pt idx="33">
                  <c:v>38231</c:v>
                </c:pt>
                <c:pt idx="34">
                  <c:v>38261</c:v>
                </c:pt>
                <c:pt idx="35">
                  <c:v>38292</c:v>
                </c:pt>
                <c:pt idx="36">
                  <c:v>38322</c:v>
                </c:pt>
                <c:pt idx="37">
                  <c:v>38353</c:v>
                </c:pt>
                <c:pt idx="38">
                  <c:v>38384</c:v>
                </c:pt>
                <c:pt idx="39">
                  <c:v>38412</c:v>
                </c:pt>
                <c:pt idx="40">
                  <c:v>38443</c:v>
                </c:pt>
                <c:pt idx="41">
                  <c:v>38473</c:v>
                </c:pt>
                <c:pt idx="42">
                  <c:v>38504</c:v>
                </c:pt>
                <c:pt idx="43">
                  <c:v>38534</c:v>
                </c:pt>
                <c:pt idx="44">
                  <c:v>38565</c:v>
                </c:pt>
                <c:pt idx="45">
                  <c:v>38596</c:v>
                </c:pt>
                <c:pt idx="46">
                  <c:v>38626</c:v>
                </c:pt>
                <c:pt idx="47">
                  <c:v>38657</c:v>
                </c:pt>
                <c:pt idx="48">
                  <c:v>38687</c:v>
                </c:pt>
                <c:pt idx="49">
                  <c:v>38718</c:v>
                </c:pt>
                <c:pt idx="50">
                  <c:v>38749</c:v>
                </c:pt>
                <c:pt idx="51">
                  <c:v>38777</c:v>
                </c:pt>
                <c:pt idx="52">
                  <c:v>38808</c:v>
                </c:pt>
                <c:pt idx="53">
                  <c:v>38838</c:v>
                </c:pt>
                <c:pt idx="54">
                  <c:v>38869</c:v>
                </c:pt>
                <c:pt idx="55">
                  <c:v>38899</c:v>
                </c:pt>
                <c:pt idx="56">
                  <c:v>38930</c:v>
                </c:pt>
                <c:pt idx="57">
                  <c:v>38961</c:v>
                </c:pt>
                <c:pt idx="58">
                  <c:v>38991</c:v>
                </c:pt>
                <c:pt idx="59">
                  <c:v>39022</c:v>
                </c:pt>
                <c:pt idx="60">
                  <c:v>39052</c:v>
                </c:pt>
                <c:pt idx="61">
                  <c:v>39083</c:v>
                </c:pt>
                <c:pt idx="62">
                  <c:v>39114</c:v>
                </c:pt>
                <c:pt idx="63">
                  <c:v>39142</c:v>
                </c:pt>
                <c:pt idx="64">
                  <c:v>39173</c:v>
                </c:pt>
                <c:pt idx="65">
                  <c:v>39203</c:v>
                </c:pt>
                <c:pt idx="66">
                  <c:v>39234</c:v>
                </c:pt>
                <c:pt idx="67">
                  <c:v>39264</c:v>
                </c:pt>
                <c:pt idx="68">
                  <c:v>39295</c:v>
                </c:pt>
                <c:pt idx="69">
                  <c:v>39326</c:v>
                </c:pt>
                <c:pt idx="70">
                  <c:v>39356</c:v>
                </c:pt>
                <c:pt idx="71">
                  <c:v>39387</c:v>
                </c:pt>
                <c:pt idx="72">
                  <c:v>39417</c:v>
                </c:pt>
                <c:pt idx="73">
                  <c:v>39448</c:v>
                </c:pt>
                <c:pt idx="74">
                  <c:v>39479</c:v>
                </c:pt>
                <c:pt idx="75">
                  <c:v>39508</c:v>
                </c:pt>
                <c:pt idx="76">
                  <c:v>39539</c:v>
                </c:pt>
                <c:pt idx="77">
                  <c:v>39569</c:v>
                </c:pt>
                <c:pt idx="78">
                  <c:v>39600</c:v>
                </c:pt>
                <c:pt idx="79">
                  <c:v>39630</c:v>
                </c:pt>
                <c:pt idx="80">
                  <c:v>39661</c:v>
                </c:pt>
                <c:pt idx="81">
                  <c:v>39692</c:v>
                </c:pt>
                <c:pt idx="82">
                  <c:v>39722</c:v>
                </c:pt>
                <c:pt idx="83">
                  <c:v>39753</c:v>
                </c:pt>
                <c:pt idx="84">
                  <c:v>39783</c:v>
                </c:pt>
                <c:pt idx="85">
                  <c:v>39814</c:v>
                </c:pt>
                <c:pt idx="86">
                  <c:v>39845</c:v>
                </c:pt>
                <c:pt idx="87">
                  <c:v>39873</c:v>
                </c:pt>
                <c:pt idx="88">
                  <c:v>39904</c:v>
                </c:pt>
                <c:pt idx="89">
                  <c:v>39934</c:v>
                </c:pt>
                <c:pt idx="90">
                  <c:v>39965</c:v>
                </c:pt>
                <c:pt idx="91">
                  <c:v>39995</c:v>
                </c:pt>
                <c:pt idx="92">
                  <c:v>40026</c:v>
                </c:pt>
                <c:pt idx="93">
                  <c:v>40057</c:v>
                </c:pt>
                <c:pt idx="94">
                  <c:v>40087</c:v>
                </c:pt>
                <c:pt idx="95">
                  <c:v>40118</c:v>
                </c:pt>
                <c:pt idx="96">
                  <c:v>40148</c:v>
                </c:pt>
                <c:pt idx="97">
                  <c:v>40179</c:v>
                </c:pt>
                <c:pt idx="98">
                  <c:v>40210</c:v>
                </c:pt>
                <c:pt idx="99">
                  <c:v>40238</c:v>
                </c:pt>
                <c:pt idx="100">
                  <c:v>40269</c:v>
                </c:pt>
                <c:pt idx="101">
                  <c:v>40299</c:v>
                </c:pt>
                <c:pt idx="102">
                  <c:v>40330</c:v>
                </c:pt>
                <c:pt idx="103">
                  <c:v>40360</c:v>
                </c:pt>
                <c:pt idx="104">
                  <c:v>40391</c:v>
                </c:pt>
                <c:pt idx="105">
                  <c:v>40422</c:v>
                </c:pt>
                <c:pt idx="106">
                  <c:v>40452</c:v>
                </c:pt>
                <c:pt idx="107">
                  <c:v>40483</c:v>
                </c:pt>
                <c:pt idx="108">
                  <c:v>40513</c:v>
                </c:pt>
                <c:pt idx="109">
                  <c:v>40544</c:v>
                </c:pt>
                <c:pt idx="110">
                  <c:v>40575</c:v>
                </c:pt>
                <c:pt idx="111">
                  <c:v>40603</c:v>
                </c:pt>
                <c:pt idx="112">
                  <c:v>40634</c:v>
                </c:pt>
                <c:pt idx="113">
                  <c:v>40664</c:v>
                </c:pt>
                <c:pt idx="114">
                  <c:v>40695</c:v>
                </c:pt>
                <c:pt idx="115">
                  <c:v>40725</c:v>
                </c:pt>
                <c:pt idx="116">
                  <c:v>40756</c:v>
                </c:pt>
                <c:pt idx="117">
                  <c:v>40787</c:v>
                </c:pt>
                <c:pt idx="118">
                  <c:v>40817</c:v>
                </c:pt>
                <c:pt idx="119">
                  <c:v>40848</c:v>
                </c:pt>
                <c:pt idx="120">
                  <c:v>40878</c:v>
                </c:pt>
                <c:pt idx="121">
                  <c:v>40909</c:v>
                </c:pt>
                <c:pt idx="122">
                  <c:v>40940</c:v>
                </c:pt>
                <c:pt idx="123">
                  <c:v>40969</c:v>
                </c:pt>
                <c:pt idx="124">
                  <c:v>41000</c:v>
                </c:pt>
                <c:pt idx="125">
                  <c:v>41030</c:v>
                </c:pt>
                <c:pt idx="126">
                  <c:v>41061</c:v>
                </c:pt>
                <c:pt idx="127">
                  <c:v>41091</c:v>
                </c:pt>
                <c:pt idx="128">
                  <c:v>41122</c:v>
                </c:pt>
                <c:pt idx="129">
                  <c:v>41153</c:v>
                </c:pt>
                <c:pt idx="130">
                  <c:v>41183</c:v>
                </c:pt>
                <c:pt idx="131">
                  <c:v>41214</c:v>
                </c:pt>
                <c:pt idx="132">
                  <c:v>41244</c:v>
                </c:pt>
                <c:pt idx="133">
                  <c:v>41275</c:v>
                </c:pt>
                <c:pt idx="134">
                  <c:v>41306</c:v>
                </c:pt>
                <c:pt idx="135">
                  <c:v>41334</c:v>
                </c:pt>
                <c:pt idx="136">
                  <c:v>41365</c:v>
                </c:pt>
                <c:pt idx="137">
                  <c:v>41395</c:v>
                </c:pt>
                <c:pt idx="138">
                  <c:v>41426</c:v>
                </c:pt>
                <c:pt idx="139">
                  <c:v>41456</c:v>
                </c:pt>
                <c:pt idx="140">
                  <c:v>41487</c:v>
                </c:pt>
                <c:pt idx="141">
                  <c:v>41518</c:v>
                </c:pt>
                <c:pt idx="142">
                  <c:v>41548</c:v>
                </c:pt>
                <c:pt idx="143">
                  <c:v>41579</c:v>
                </c:pt>
                <c:pt idx="144">
                  <c:v>41609</c:v>
                </c:pt>
                <c:pt idx="145">
                  <c:v>41640</c:v>
                </c:pt>
                <c:pt idx="146">
                  <c:v>41671</c:v>
                </c:pt>
                <c:pt idx="147">
                  <c:v>41699</c:v>
                </c:pt>
                <c:pt idx="148">
                  <c:v>41730</c:v>
                </c:pt>
                <c:pt idx="149">
                  <c:v>41760</c:v>
                </c:pt>
                <c:pt idx="150">
                  <c:v>41791</c:v>
                </c:pt>
                <c:pt idx="151">
                  <c:v>41821</c:v>
                </c:pt>
                <c:pt idx="152">
                  <c:v>41852</c:v>
                </c:pt>
                <c:pt idx="153">
                  <c:v>41883</c:v>
                </c:pt>
                <c:pt idx="154">
                  <c:v>41913</c:v>
                </c:pt>
                <c:pt idx="155">
                  <c:v>41944</c:v>
                </c:pt>
                <c:pt idx="156">
                  <c:v>41974</c:v>
                </c:pt>
                <c:pt idx="157">
                  <c:v>42005</c:v>
                </c:pt>
                <c:pt idx="158">
                  <c:v>42036</c:v>
                </c:pt>
                <c:pt idx="159">
                  <c:v>42064</c:v>
                </c:pt>
                <c:pt idx="160">
                  <c:v>42095</c:v>
                </c:pt>
                <c:pt idx="161">
                  <c:v>42125</c:v>
                </c:pt>
                <c:pt idx="162">
                  <c:v>42156</c:v>
                </c:pt>
                <c:pt idx="163">
                  <c:v>42186</c:v>
                </c:pt>
                <c:pt idx="164">
                  <c:v>42217</c:v>
                </c:pt>
                <c:pt idx="165">
                  <c:v>42248</c:v>
                </c:pt>
                <c:pt idx="166">
                  <c:v>42278</c:v>
                </c:pt>
                <c:pt idx="167">
                  <c:v>42309</c:v>
                </c:pt>
                <c:pt idx="168">
                  <c:v>42339</c:v>
                </c:pt>
                <c:pt idx="169">
                  <c:v>42370</c:v>
                </c:pt>
                <c:pt idx="170">
                  <c:v>42401</c:v>
                </c:pt>
                <c:pt idx="171">
                  <c:v>42430</c:v>
                </c:pt>
                <c:pt idx="172">
                  <c:v>42461</c:v>
                </c:pt>
                <c:pt idx="173">
                  <c:v>42491</c:v>
                </c:pt>
                <c:pt idx="174">
                  <c:v>42522</c:v>
                </c:pt>
                <c:pt idx="175">
                  <c:v>42552</c:v>
                </c:pt>
                <c:pt idx="176">
                  <c:v>42583</c:v>
                </c:pt>
                <c:pt idx="177">
                  <c:v>42614</c:v>
                </c:pt>
                <c:pt idx="178">
                  <c:v>42644</c:v>
                </c:pt>
                <c:pt idx="179">
                  <c:v>42675</c:v>
                </c:pt>
                <c:pt idx="180">
                  <c:v>42705</c:v>
                </c:pt>
                <c:pt idx="181">
                  <c:v>42736</c:v>
                </c:pt>
                <c:pt idx="182">
                  <c:v>42767</c:v>
                </c:pt>
                <c:pt idx="183">
                  <c:v>42795</c:v>
                </c:pt>
                <c:pt idx="184">
                  <c:v>42826</c:v>
                </c:pt>
                <c:pt idx="185">
                  <c:v>42856</c:v>
                </c:pt>
                <c:pt idx="186">
                  <c:v>42887</c:v>
                </c:pt>
                <c:pt idx="187">
                  <c:v>42917</c:v>
                </c:pt>
                <c:pt idx="188">
                  <c:v>42948</c:v>
                </c:pt>
                <c:pt idx="189">
                  <c:v>42979</c:v>
                </c:pt>
                <c:pt idx="190">
                  <c:v>43009</c:v>
                </c:pt>
                <c:pt idx="191">
                  <c:v>43040</c:v>
                </c:pt>
                <c:pt idx="192">
                  <c:v>43070</c:v>
                </c:pt>
                <c:pt idx="193">
                  <c:v>43101</c:v>
                </c:pt>
                <c:pt idx="194">
                  <c:v>43132</c:v>
                </c:pt>
                <c:pt idx="195">
                  <c:v>43160</c:v>
                </c:pt>
                <c:pt idx="196">
                  <c:v>43191</c:v>
                </c:pt>
                <c:pt idx="197">
                  <c:v>43221</c:v>
                </c:pt>
                <c:pt idx="198">
                  <c:v>43252</c:v>
                </c:pt>
                <c:pt idx="199">
                  <c:v>43282</c:v>
                </c:pt>
                <c:pt idx="200">
                  <c:v>43313</c:v>
                </c:pt>
                <c:pt idx="201">
                  <c:v>43344</c:v>
                </c:pt>
                <c:pt idx="202">
                  <c:v>43374</c:v>
                </c:pt>
                <c:pt idx="203">
                  <c:v>43405</c:v>
                </c:pt>
                <c:pt idx="204">
                  <c:v>43435</c:v>
                </c:pt>
                <c:pt idx="205">
                  <c:v>43466</c:v>
                </c:pt>
                <c:pt idx="206">
                  <c:v>43497</c:v>
                </c:pt>
                <c:pt idx="207">
                  <c:v>43525</c:v>
                </c:pt>
                <c:pt idx="208">
                  <c:v>43556</c:v>
                </c:pt>
                <c:pt idx="209">
                  <c:v>43586</c:v>
                </c:pt>
                <c:pt idx="210">
                  <c:v>43617</c:v>
                </c:pt>
                <c:pt idx="211">
                  <c:v>43647</c:v>
                </c:pt>
                <c:pt idx="212">
                  <c:v>43678</c:v>
                </c:pt>
                <c:pt idx="213">
                  <c:v>43709</c:v>
                </c:pt>
                <c:pt idx="214">
                  <c:v>43739</c:v>
                </c:pt>
                <c:pt idx="215">
                  <c:v>43770</c:v>
                </c:pt>
                <c:pt idx="216">
                  <c:v>43800</c:v>
                </c:pt>
                <c:pt idx="217">
                  <c:v>43831</c:v>
                </c:pt>
                <c:pt idx="218">
                  <c:v>43862</c:v>
                </c:pt>
                <c:pt idx="219">
                  <c:v>43891</c:v>
                </c:pt>
                <c:pt idx="220">
                  <c:v>43922</c:v>
                </c:pt>
                <c:pt idx="221">
                  <c:v>43952</c:v>
                </c:pt>
                <c:pt idx="222">
                  <c:v>43983</c:v>
                </c:pt>
                <c:pt idx="223">
                  <c:v>44013</c:v>
                </c:pt>
                <c:pt idx="224">
                  <c:v>44044</c:v>
                </c:pt>
                <c:pt idx="225">
                  <c:v>44075</c:v>
                </c:pt>
                <c:pt idx="226">
                  <c:v>44105</c:v>
                </c:pt>
                <c:pt idx="227">
                  <c:v>44136</c:v>
                </c:pt>
                <c:pt idx="228">
                  <c:v>44166</c:v>
                </c:pt>
                <c:pt idx="229">
                  <c:v>44197</c:v>
                </c:pt>
                <c:pt idx="230">
                  <c:v>44228</c:v>
                </c:pt>
                <c:pt idx="231">
                  <c:v>44256</c:v>
                </c:pt>
                <c:pt idx="232">
                  <c:v>44287</c:v>
                </c:pt>
                <c:pt idx="233">
                  <c:v>44317</c:v>
                </c:pt>
                <c:pt idx="234">
                  <c:v>44348</c:v>
                </c:pt>
                <c:pt idx="235">
                  <c:v>44378</c:v>
                </c:pt>
                <c:pt idx="236">
                  <c:v>44409</c:v>
                </c:pt>
                <c:pt idx="237">
                  <c:v>44440</c:v>
                </c:pt>
                <c:pt idx="238">
                  <c:v>44470</c:v>
                </c:pt>
                <c:pt idx="239">
                  <c:v>44501</c:v>
                </c:pt>
                <c:pt idx="240">
                  <c:v>44531</c:v>
                </c:pt>
                <c:pt idx="241">
                  <c:v>44562</c:v>
                </c:pt>
                <c:pt idx="242">
                  <c:v>44593</c:v>
                </c:pt>
                <c:pt idx="243">
                  <c:v>44621</c:v>
                </c:pt>
                <c:pt idx="244">
                  <c:v>44652</c:v>
                </c:pt>
                <c:pt idx="245">
                  <c:v>44682</c:v>
                </c:pt>
                <c:pt idx="246">
                  <c:v>44713</c:v>
                </c:pt>
                <c:pt idx="247">
                  <c:v>44743</c:v>
                </c:pt>
                <c:pt idx="248">
                  <c:v>44774</c:v>
                </c:pt>
                <c:pt idx="249">
                  <c:v>44805</c:v>
                </c:pt>
                <c:pt idx="250">
                  <c:v>44835</c:v>
                </c:pt>
                <c:pt idx="251">
                  <c:v>44866</c:v>
                </c:pt>
              </c:numCache>
            </c:numRef>
          </c:cat>
          <c:val>
            <c:numRef>
              <c:f>Data!$D$18:$D$269</c:f>
              <c:numCache>
                <c:formatCode>0.00</c:formatCode>
                <c:ptCount val="252"/>
                <c:pt idx="0">
                  <c:v>1.0335246458224554</c:v>
                </c:pt>
                <c:pt idx="1">
                  <c:v>1.0388079987197361</c:v>
                </c:pt>
                <c:pt idx="2">
                  <c:v>1.0402508891136517</c:v>
                </c:pt>
                <c:pt idx="3">
                  <c:v>1.0686394733248161</c:v>
                </c:pt>
                <c:pt idx="4">
                  <c:v>1.0617754569267486</c:v>
                </c:pt>
                <c:pt idx="5">
                  <c:v>1.1023716150572245</c:v>
                </c:pt>
                <c:pt idx="6">
                  <c:v>1.0327889174000111</c:v>
                </c:pt>
                <c:pt idx="7">
                  <c:v>0.99420638711046172</c:v>
                </c:pt>
                <c:pt idx="8">
                  <c:v>0.99757442279863118</c:v>
                </c:pt>
                <c:pt idx="9">
                  <c:v>1.0126604935176389</c:v>
                </c:pt>
                <c:pt idx="10">
                  <c:v>0.96933642212938009</c:v>
                </c:pt>
                <c:pt idx="11">
                  <c:v>1.0213551869204824</c:v>
                </c:pt>
                <c:pt idx="12">
                  <c:v>1.0368149939093489</c:v>
                </c:pt>
                <c:pt idx="13">
                  <c:v>1.032165609885096</c:v>
                </c:pt>
                <c:pt idx="14">
                  <c:v>0.98770743320966747</c:v>
                </c:pt>
                <c:pt idx="15">
                  <c:v>0.98636139780050547</c:v>
                </c:pt>
                <c:pt idx="16">
                  <c:v>1.0023337548716271</c:v>
                </c:pt>
                <c:pt idx="17">
                  <c:v>0.97133658473235807</c:v>
                </c:pt>
                <c:pt idx="18">
                  <c:v>1.0592425774785077</c:v>
                </c:pt>
                <c:pt idx="19">
                  <c:v>1.0266134003100171</c:v>
                </c:pt>
                <c:pt idx="20">
                  <c:v>1.0064243731986813</c:v>
                </c:pt>
                <c:pt idx="21">
                  <c:v>0.97364624664097121</c:v>
                </c:pt>
                <c:pt idx="22">
                  <c:v>0.99094973497619443</c:v>
                </c:pt>
                <c:pt idx="23">
                  <c:v>0.98215661761191997</c:v>
                </c:pt>
                <c:pt idx="24">
                  <c:v>0.94733896123844197</c:v>
                </c:pt>
                <c:pt idx="25">
                  <c:v>0.99563258876281224</c:v>
                </c:pt>
                <c:pt idx="26">
                  <c:v>1.0195508920473841</c:v>
                </c:pt>
                <c:pt idx="27">
                  <c:v>1.0155533972619255</c:v>
                </c:pt>
                <c:pt idx="28">
                  <c:v>1.0298636380014266</c:v>
                </c:pt>
                <c:pt idx="29">
                  <c:v>1.008494090735244</c:v>
                </c:pt>
                <c:pt idx="30">
                  <c:v>0.93778560598343408</c:v>
                </c:pt>
                <c:pt idx="31">
                  <c:v>0.98325054193869599</c:v>
                </c:pt>
                <c:pt idx="32">
                  <c:v>1.0345635416635675</c:v>
                </c:pt>
                <c:pt idx="33">
                  <c:v>1.0247000911587405</c:v>
                </c:pt>
                <c:pt idx="34">
                  <c:v>1.0380449796160323</c:v>
                </c:pt>
                <c:pt idx="35">
                  <c:v>1.058962240942992</c:v>
                </c:pt>
                <c:pt idx="36">
                  <c:v>1.0514125012093745</c:v>
                </c:pt>
                <c:pt idx="37">
                  <c:v>1.006637480860993</c:v>
                </c:pt>
                <c:pt idx="38">
                  <c:v>1.0156925500465228</c:v>
                </c:pt>
                <c:pt idx="39">
                  <c:v>0.99446103544847408</c:v>
                </c:pt>
                <c:pt idx="40">
                  <c:v>0.9669245652995585</c:v>
                </c:pt>
                <c:pt idx="41">
                  <c:v>0.99636655939715757</c:v>
                </c:pt>
                <c:pt idx="42">
                  <c:v>1.0219308561760356</c:v>
                </c:pt>
                <c:pt idx="43">
                  <c:v>1.0220569316532635</c:v>
                </c:pt>
                <c:pt idx="44">
                  <c:v>0.98567899406644954</c:v>
                </c:pt>
                <c:pt idx="45">
                  <c:v>1.0350876556770396</c:v>
                </c:pt>
                <c:pt idx="46">
                  <c:v>1.002036856870633</c:v>
                </c:pt>
                <c:pt idx="47">
                  <c:v>0.9997664718310727</c:v>
                </c:pt>
                <c:pt idx="48">
                  <c:v>1.0008280306504991</c:v>
                </c:pt>
                <c:pt idx="49">
                  <c:v>1.0066654935667105</c:v>
                </c:pt>
                <c:pt idx="50">
                  <c:v>0.98066883034123109</c:v>
                </c:pt>
                <c:pt idx="51">
                  <c:v>0.99792855243351108</c:v>
                </c:pt>
                <c:pt idx="52">
                  <c:v>1.0027040821599613</c:v>
                </c:pt>
                <c:pt idx="53">
                  <c:v>0.96219183109155382</c:v>
                </c:pt>
                <c:pt idx="54">
                  <c:v>1.0010301243761957</c:v>
                </c:pt>
                <c:pt idx="55">
                  <c:v>1.0122943954104335</c:v>
                </c:pt>
                <c:pt idx="56">
                  <c:v>1.0276317286292374</c:v>
                </c:pt>
                <c:pt idx="57">
                  <c:v>1.0083302047769855</c:v>
                </c:pt>
                <c:pt idx="58">
                  <c:v>1.0486658331408967</c:v>
                </c:pt>
                <c:pt idx="59">
                  <c:v>1.0017356460309943</c:v>
                </c:pt>
                <c:pt idx="60">
                  <c:v>0.96365326045659538</c:v>
                </c:pt>
                <c:pt idx="61">
                  <c:v>0.95158707236347029</c:v>
                </c:pt>
                <c:pt idx="62">
                  <c:v>0.98219748500191384</c:v>
                </c:pt>
                <c:pt idx="63">
                  <c:v>0.98306958053257643</c:v>
                </c:pt>
                <c:pt idx="64">
                  <c:v>0.98855256077803322</c:v>
                </c:pt>
                <c:pt idx="65">
                  <c:v>1.015300007043201</c:v>
                </c:pt>
                <c:pt idx="66">
                  <c:v>1.051720923640042</c:v>
                </c:pt>
                <c:pt idx="67">
                  <c:v>1.0684648513255222</c:v>
                </c:pt>
                <c:pt idx="68">
                  <c:v>1.0685577308988445</c:v>
                </c:pt>
                <c:pt idx="69">
                  <c:v>1.039747759343193</c:v>
                </c:pt>
                <c:pt idx="70">
                  <c:v>1.0127456758076465</c:v>
                </c:pt>
                <c:pt idx="71">
                  <c:v>1.0341280508229678</c:v>
                </c:pt>
                <c:pt idx="72">
                  <c:v>1.0418150385901297</c:v>
                </c:pt>
                <c:pt idx="73">
                  <c:v>1.0574134446608778</c:v>
                </c:pt>
                <c:pt idx="74">
                  <c:v>1.0124222006474703</c:v>
                </c:pt>
                <c:pt idx="75">
                  <c:v>1.0238279329594371</c:v>
                </c:pt>
                <c:pt idx="76">
                  <c:v>1.0391985118863269</c:v>
                </c:pt>
                <c:pt idx="77">
                  <c:v>1.0100064714254358</c:v>
                </c:pt>
                <c:pt idx="78">
                  <c:v>0.96932610177003642</c:v>
                </c:pt>
                <c:pt idx="79">
                  <c:v>0.95791392263106168</c:v>
                </c:pt>
                <c:pt idx="80">
                  <c:v>0.93513384175965786</c:v>
                </c:pt>
                <c:pt idx="81">
                  <c:v>0.93648759529628389</c:v>
                </c:pt>
                <c:pt idx="82">
                  <c:v>0.95861058756779161</c:v>
                </c:pt>
                <c:pt idx="83">
                  <c:v>0.92533474961667528</c:v>
                </c:pt>
                <c:pt idx="84">
                  <c:v>0.95747602091190065</c:v>
                </c:pt>
                <c:pt idx="85">
                  <c:v>0.93367315162002618</c:v>
                </c:pt>
                <c:pt idx="86">
                  <c:v>0.97178848936544293</c:v>
                </c:pt>
                <c:pt idx="87">
                  <c:v>0.93045626593179043</c:v>
                </c:pt>
                <c:pt idx="88">
                  <c:v>0.89712960339373826</c:v>
                </c:pt>
                <c:pt idx="89">
                  <c:v>0.91529814122537467</c:v>
                </c:pt>
                <c:pt idx="90">
                  <c:v>0.87948686484454563</c:v>
                </c:pt>
                <c:pt idx="91">
                  <c:v>0.85910001726319218</c:v>
                </c:pt>
                <c:pt idx="92">
                  <c:v>0.88603579062018101</c:v>
                </c:pt>
                <c:pt idx="93">
                  <c:v>0.88022946097396915</c:v>
                </c:pt>
                <c:pt idx="94">
                  <c:v>0.84728175961697738</c:v>
                </c:pt>
                <c:pt idx="95">
                  <c:v>0.91413630009121594</c:v>
                </c:pt>
                <c:pt idx="96">
                  <c:v>0.93912974829638385</c:v>
                </c:pt>
                <c:pt idx="97">
                  <c:v>0.95342530021406902</c:v>
                </c:pt>
                <c:pt idx="98">
                  <c:v>0.9712587780775841</c:v>
                </c:pt>
                <c:pt idx="99">
                  <c:v>1.0228590970863414</c:v>
                </c:pt>
                <c:pt idx="100">
                  <c:v>1.0701869038344864</c:v>
                </c:pt>
                <c:pt idx="101">
                  <c:v>1.0654956665573467</c:v>
                </c:pt>
                <c:pt idx="102">
                  <c:v>1.0892656852122062</c:v>
                </c:pt>
                <c:pt idx="103">
                  <c:v>1.0877160409087907</c:v>
                </c:pt>
                <c:pt idx="104">
                  <c:v>1.0050887877754962</c:v>
                </c:pt>
                <c:pt idx="105">
                  <c:v>1.0392914508200686</c:v>
                </c:pt>
                <c:pt idx="106">
                  <c:v>1.0500393511370203</c:v>
                </c:pt>
                <c:pt idx="107">
                  <c:v>1.0498006049685542</c:v>
                </c:pt>
                <c:pt idx="108">
                  <c:v>1.046989612979546</c:v>
                </c:pt>
                <c:pt idx="109">
                  <c:v>1.0738596832415324</c:v>
                </c:pt>
                <c:pt idx="110">
                  <c:v>1.0372598255095717</c:v>
                </c:pt>
                <c:pt idx="111">
                  <c:v>1.0759417091561669</c:v>
                </c:pt>
                <c:pt idx="112">
                  <c:v>1.0440829985783597</c:v>
                </c:pt>
                <c:pt idx="113">
                  <c:v>1.0549795270081512</c:v>
                </c:pt>
                <c:pt idx="114">
                  <c:v>1.0720954622977783</c:v>
                </c:pt>
                <c:pt idx="115">
                  <c:v>1.0621534737936404</c:v>
                </c:pt>
                <c:pt idx="116">
                  <c:v>1.1098791142872821</c:v>
                </c:pt>
                <c:pt idx="117">
                  <c:v>1.104937454247761</c:v>
                </c:pt>
                <c:pt idx="118">
                  <c:v>1.0772923190203509</c:v>
                </c:pt>
                <c:pt idx="119">
                  <c:v>1.0584698545400402</c:v>
                </c:pt>
                <c:pt idx="120">
                  <c:v>1.0471074432187724</c:v>
                </c:pt>
                <c:pt idx="121">
                  <c:v>1.0234030269447796</c:v>
                </c:pt>
                <c:pt idx="122">
                  <c:v>0.99130163810858529</c:v>
                </c:pt>
                <c:pt idx="123">
                  <c:v>0.95926732757021083</c:v>
                </c:pt>
                <c:pt idx="124">
                  <c:v>0.95751076439206961</c:v>
                </c:pt>
                <c:pt idx="125">
                  <c:v>0.94585373847221244</c:v>
                </c:pt>
                <c:pt idx="126">
                  <c:v>0.94071944723627365</c:v>
                </c:pt>
                <c:pt idx="127">
                  <c:v>0.95475678059198588</c:v>
                </c:pt>
                <c:pt idx="128">
                  <c:v>0.93890620874249098</c:v>
                </c:pt>
                <c:pt idx="129">
                  <c:v>0.90665461199574215</c:v>
                </c:pt>
                <c:pt idx="130">
                  <c:v>0.91418694124978039</c:v>
                </c:pt>
                <c:pt idx="131">
                  <c:v>0.89997230918137916</c:v>
                </c:pt>
                <c:pt idx="132">
                  <c:v>0.89743040632042237</c:v>
                </c:pt>
                <c:pt idx="133">
                  <c:v>0.92217024286250304</c:v>
                </c:pt>
                <c:pt idx="134">
                  <c:v>0.94229360460030631</c:v>
                </c:pt>
                <c:pt idx="135">
                  <c:v>0.92319238130624526</c:v>
                </c:pt>
                <c:pt idx="136">
                  <c:v>0.93213411159668613</c:v>
                </c:pt>
                <c:pt idx="137">
                  <c:v>0.93598747969418816</c:v>
                </c:pt>
                <c:pt idx="138">
                  <c:v>0.94365296899369022</c:v>
                </c:pt>
                <c:pt idx="139">
                  <c:v>0.93725749049408891</c:v>
                </c:pt>
                <c:pt idx="140">
                  <c:v>0.97920818821787881</c:v>
                </c:pt>
                <c:pt idx="141">
                  <c:v>1.0515348227885688</c:v>
                </c:pt>
                <c:pt idx="142">
                  <c:v>1.0010811792326486</c:v>
                </c:pt>
                <c:pt idx="143">
                  <c:v>1.046434492670514</c:v>
                </c:pt>
                <c:pt idx="144">
                  <c:v>1.0423407237750639</c:v>
                </c:pt>
                <c:pt idx="145">
                  <c:v>1.0088864929239543</c:v>
                </c:pt>
                <c:pt idx="146">
                  <c:v>1.0150287551417301</c:v>
                </c:pt>
                <c:pt idx="147">
                  <c:v>1.0519948252853366</c:v>
                </c:pt>
                <c:pt idx="148">
                  <c:v>1.0384160944175271</c:v>
                </c:pt>
                <c:pt idx="149">
                  <c:v>1.0145878794287511</c:v>
                </c:pt>
                <c:pt idx="150">
                  <c:v>1.0009365076062349</c:v>
                </c:pt>
                <c:pt idx="151">
                  <c:v>0.97014916643903748</c:v>
                </c:pt>
                <c:pt idx="152">
                  <c:v>0.95549283435021271</c:v>
                </c:pt>
                <c:pt idx="153">
                  <c:v>0.92634039945199376</c:v>
                </c:pt>
                <c:pt idx="154">
                  <c:v>0.9627964941671604</c:v>
                </c:pt>
                <c:pt idx="155">
                  <c:v>0.95885730751023934</c:v>
                </c:pt>
                <c:pt idx="156">
                  <c:v>0.96064008523542188</c:v>
                </c:pt>
                <c:pt idx="157">
                  <c:v>0.98641247543793642</c:v>
                </c:pt>
                <c:pt idx="158">
                  <c:v>1.02681830650096</c:v>
                </c:pt>
                <c:pt idx="159">
                  <c:v>1.0227806633763659</c:v>
                </c:pt>
                <c:pt idx="160">
                  <c:v>1.0112646765738054</c:v>
                </c:pt>
                <c:pt idx="161">
                  <c:v>1.0010483938606056</c:v>
                </c:pt>
                <c:pt idx="162">
                  <c:v>1.0202807467284116</c:v>
                </c:pt>
                <c:pt idx="163">
                  <c:v>1.0411427611830644</c:v>
                </c:pt>
                <c:pt idx="164">
                  <c:v>1.0290740390872641</c:v>
                </c:pt>
                <c:pt idx="165">
                  <c:v>1.0146566506083123</c:v>
                </c:pt>
                <c:pt idx="166">
                  <c:v>1.0242729193921707</c:v>
                </c:pt>
                <c:pt idx="167">
                  <c:v>0.97624467979807983</c:v>
                </c:pt>
                <c:pt idx="168">
                  <c:v>0.98516866244032242</c:v>
                </c:pt>
                <c:pt idx="169">
                  <c:v>0.98204618382975373</c:v>
                </c:pt>
                <c:pt idx="170">
                  <c:v>0.97102452531645567</c:v>
                </c:pt>
                <c:pt idx="171">
                  <c:v>0.96114416387279311</c:v>
                </c:pt>
                <c:pt idx="172">
                  <c:v>1.014237047830967</c:v>
                </c:pt>
                <c:pt idx="173">
                  <c:v>1.0505494955283139</c:v>
                </c:pt>
                <c:pt idx="174">
                  <c:v>0.97457976188141149</c:v>
                </c:pt>
                <c:pt idx="175">
                  <c:v>0.97423535611812695</c:v>
                </c:pt>
                <c:pt idx="176">
                  <c:v>0.96778747181648861</c:v>
                </c:pt>
                <c:pt idx="177">
                  <c:v>0.96679251250222376</c:v>
                </c:pt>
                <c:pt idx="178">
                  <c:v>0.98535181794402305</c:v>
                </c:pt>
                <c:pt idx="179">
                  <c:v>1.013881110488839</c:v>
                </c:pt>
                <c:pt idx="180">
                  <c:v>0.99554310956850989</c:v>
                </c:pt>
                <c:pt idx="181">
                  <c:v>0.97933365523901494</c:v>
                </c:pt>
                <c:pt idx="182">
                  <c:v>0.96104292722032414</c:v>
                </c:pt>
                <c:pt idx="183">
                  <c:v>0.99582419274140788</c:v>
                </c:pt>
                <c:pt idx="184">
                  <c:v>0.97738099848948445</c:v>
                </c:pt>
                <c:pt idx="185">
                  <c:v>0.9636744935026027</c:v>
                </c:pt>
                <c:pt idx="186">
                  <c:v>1.0268830692629831</c:v>
                </c:pt>
                <c:pt idx="187">
                  <c:v>1.0477035208823415</c:v>
                </c:pt>
                <c:pt idx="188">
                  <c:v>1.0228855536106662</c:v>
                </c:pt>
                <c:pt idx="189">
                  <c:v>1.0086692206694365</c:v>
                </c:pt>
                <c:pt idx="190">
                  <c:v>1.0012995798618529</c:v>
                </c:pt>
                <c:pt idx="191">
                  <c:v>1.0314353393769926</c:v>
                </c:pt>
                <c:pt idx="192">
                  <c:v>1.0627445596210614</c:v>
                </c:pt>
                <c:pt idx="193">
                  <c:v>1.0697382129686286</c:v>
                </c:pt>
                <c:pt idx="194">
                  <c:v>1.0910373915159379</c:v>
                </c:pt>
                <c:pt idx="195">
                  <c:v>1.1071115293217013</c:v>
                </c:pt>
                <c:pt idx="196">
                  <c:v>1.0773340079164311</c:v>
                </c:pt>
                <c:pt idx="197">
                  <c:v>1.0860364011495101</c:v>
                </c:pt>
                <c:pt idx="198">
                  <c:v>1.050338026956035</c:v>
                </c:pt>
                <c:pt idx="199">
                  <c:v>0.97259597415772336</c:v>
                </c:pt>
                <c:pt idx="200">
                  <c:v>0.97909347386351542</c:v>
                </c:pt>
                <c:pt idx="201">
                  <c:v>0.98457303974221266</c:v>
                </c:pt>
                <c:pt idx="202">
                  <c:v>0.97740468420293847</c:v>
                </c:pt>
                <c:pt idx="203">
                  <c:v>0.9591353698085574</c:v>
                </c:pt>
                <c:pt idx="204">
                  <c:v>0.95745281497015644</c:v>
                </c:pt>
                <c:pt idx="205">
                  <c:v>0.95071805675401277</c:v>
                </c:pt>
                <c:pt idx="206">
                  <c:v>0.95909880638245271</c:v>
                </c:pt>
                <c:pt idx="207">
                  <c:v>0.90750408746100131</c:v>
                </c:pt>
                <c:pt idx="208">
                  <c:v>0.90148089050487501</c:v>
                </c:pt>
                <c:pt idx="209">
                  <c:v>0.89938555008955423</c:v>
                </c:pt>
                <c:pt idx="210">
                  <c:v>0.9600850497428941</c:v>
                </c:pt>
                <c:pt idx="211">
                  <c:v>1.0187511763724881</c:v>
                </c:pt>
                <c:pt idx="212">
                  <c:v>1.0265258230142957</c:v>
                </c:pt>
                <c:pt idx="213">
                  <c:v>0.9964838070459715</c:v>
                </c:pt>
                <c:pt idx="214">
                  <c:v>1.0456865181541477</c:v>
                </c:pt>
                <c:pt idx="215">
                  <c:v>1.0344364826077022</c:v>
                </c:pt>
                <c:pt idx="216">
                  <c:v>1.0213867339186284</c:v>
                </c:pt>
                <c:pt idx="217">
                  <c:v>0.99709307461507846</c:v>
                </c:pt>
                <c:pt idx="218">
                  <c:v>0.98379746597346263</c:v>
                </c:pt>
                <c:pt idx="219">
                  <c:v>0.95641409446028025</c:v>
                </c:pt>
                <c:pt idx="220">
                  <c:v>0.94959131269305752</c:v>
                </c:pt>
                <c:pt idx="221">
                  <c:v>0.93674528926505751</c:v>
                </c:pt>
                <c:pt idx="222">
                  <c:v>0.93111768733796219</c:v>
                </c:pt>
                <c:pt idx="223">
                  <c:v>0.93092058161789293</c:v>
                </c:pt>
                <c:pt idx="224">
                  <c:v>0.95941422181402414</c:v>
                </c:pt>
                <c:pt idx="225">
                  <c:v>1.0007164395998283</c:v>
                </c:pt>
                <c:pt idx="226">
                  <c:v>0.97074860371903138</c:v>
                </c:pt>
                <c:pt idx="227">
                  <c:v>0.9668742274228721</c:v>
                </c:pt>
                <c:pt idx="228">
                  <c:v>0.92079955969185545</c:v>
                </c:pt>
                <c:pt idx="229">
                  <c:v>0.92676389217173416</c:v>
                </c:pt>
                <c:pt idx="230">
                  <c:v>0.93883400980352916</c:v>
                </c:pt>
                <c:pt idx="231">
                  <c:v>1.0231990599713643</c:v>
                </c:pt>
                <c:pt idx="232">
                  <c:v>1.0389615329257433</c:v>
                </c:pt>
                <c:pt idx="233">
                  <c:v>1.0863631622450705</c:v>
                </c:pt>
                <c:pt idx="234">
                  <c:v>1.0480025756887548</c:v>
                </c:pt>
                <c:pt idx="235">
                  <c:v>1.0639393032298681</c:v>
                </c:pt>
                <c:pt idx="236">
                  <c:v>1.0313345581861251</c:v>
                </c:pt>
                <c:pt idx="237">
                  <c:v>1.015055285649318</c:v>
                </c:pt>
                <c:pt idx="238">
                  <c:v>0.97827927716010843</c:v>
                </c:pt>
                <c:pt idx="239">
                  <c:v>0.99267454069412897</c:v>
                </c:pt>
                <c:pt idx="240">
                  <c:v>1.0337098614399465</c:v>
                </c:pt>
                <c:pt idx="241">
                  <c:v>1.0676926897669685</c:v>
                </c:pt>
                <c:pt idx="242">
                  <c:v>1.0509018228977476</c:v>
                </c:pt>
                <c:pt idx="243">
                  <c:v>0.98742082834759204</c:v>
                </c:pt>
                <c:pt idx="244">
                  <c:v>1.0222287973871118</c:v>
                </c:pt>
                <c:pt idx="245">
                  <c:v>1.000352249425094</c:v>
                </c:pt>
                <c:pt idx="246">
                  <c:v>1.0473118520886648</c:v>
                </c:pt>
                <c:pt idx="247">
                  <c:v>1.0387439951836328</c:v>
                </c:pt>
                <c:pt idx="248">
                  <c:v>1.0187558992181232</c:v>
                </c:pt>
                <c:pt idx="249">
                  <c:v>1.0314527624925418</c:v>
                </c:pt>
                <c:pt idx="250">
                  <c:v>1.0336044900426675</c:v>
                </c:pt>
                <c:pt idx="251">
                  <c:v>1.0643103177460089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D-42D2-86BB-D6344B97C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8517856"/>
        <c:axId val="608515888"/>
      </c:lineChart>
      <c:dateAx>
        <c:axId val="6085178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08515888"/>
        <c:crosses val="autoZero"/>
        <c:auto val="1"/>
        <c:lblOffset val="100"/>
        <c:baseTimeUnit val="months"/>
      </c:dateAx>
      <c:valAx>
        <c:axId val="6085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0851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12 month rolling (zoomed)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Data!$B$6</c:f>
              <c:strCache>
                <c:ptCount val="1"/>
                <c:pt idx="0">
                  <c:v>12_Month Roll_Sales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Data!$A$18:$A$281</c:f>
              <c:numCache>
                <c:formatCode>mmm\-yy</c:formatCode>
                <c:ptCount val="264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  <c:pt idx="12">
                  <c:v>37591</c:v>
                </c:pt>
                <c:pt idx="13">
                  <c:v>37622</c:v>
                </c:pt>
                <c:pt idx="14">
                  <c:v>37653</c:v>
                </c:pt>
                <c:pt idx="15">
                  <c:v>37681</c:v>
                </c:pt>
                <c:pt idx="16">
                  <c:v>37712</c:v>
                </c:pt>
                <c:pt idx="17">
                  <c:v>37742</c:v>
                </c:pt>
                <c:pt idx="18">
                  <c:v>37773</c:v>
                </c:pt>
                <c:pt idx="19">
                  <c:v>37803</c:v>
                </c:pt>
                <c:pt idx="20">
                  <c:v>37834</c:v>
                </c:pt>
                <c:pt idx="21">
                  <c:v>37865</c:v>
                </c:pt>
                <c:pt idx="22">
                  <c:v>37895</c:v>
                </c:pt>
                <c:pt idx="23">
                  <c:v>37926</c:v>
                </c:pt>
                <c:pt idx="24">
                  <c:v>37956</c:v>
                </c:pt>
                <c:pt idx="25">
                  <c:v>37987</c:v>
                </c:pt>
                <c:pt idx="26">
                  <c:v>38018</c:v>
                </c:pt>
                <c:pt idx="27">
                  <c:v>38047</c:v>
                </c:pt>
                <c:pt idx="28">
                  <c:v>38078</c:v>
                </c:pt>
                <c:pt idx="29">
                  <c:v>38108</c:v>
                </c:pt>
                <c:pt idx="30">
                  <c:v>38139</c:v>
                </c:pt>
                <c:pt idx="31">
                  <c:v>38169</c:v>
                </c:pt>
                <c:pt idx="32">
                  <c:v>38200</c:v>
                </c:pt>
                <c:pt idx="33">
                  <c:v>38231</c:v>
                </c:pt>
                <c:pt idx="34">
                  <c:v>38261</c:v>
                </c:pt>
                <c:pt idx="35">
                  <c:v>38292</c:v>
                </c:pt>
                <c:pt idx="36">
                  <c:v>38322</c:v>
                </c:pt>
                <c:pt idx="37">
                  <c:v>38353</c:v>
                </c:pt>
                <c:pt idx="38">
                  <c:v>38384</c:v>
                </c:pt>
                <c:pt idx="39">
                  <c:v>38412</c:v>
                </c:pt>
                <c:pt idx="40">
                  <c:v>38443</c:v>
                </c:pt>
                <c:pt idx="41">
                  <c:v>38473</c:v>
                </c:pt>
                <c:pt idx="42">
                  <c:v>38504</c:v>
                </c:pt>
                <c:pt idx="43">
                  <c:v>38534</c:v>
                </c:pt>
                <c:pt idx="44">
                  <c:v>38565</c:v>
                </c:pt>
                <c:pt idx="45">
                  <c:v>38596</c:v>
                </c:pt>
                <c:pt idx="46">
                  <c:v>38626</c:v>
                </c:pt>
                <c:pt idx="47">
                  <c:v>38657</c:v>
                </c:pt>
                <c:pt idx="48">
                  <c:v>38687</c:v>
                </c:pt>
                <c:pt idx="49">
                  <c:v>38718</c:v>
                </c:pt>
                <c:pt idx="50">
                  <c:v>38749</c:v>
                </c:pt>
                <c:pt idx="51">
                  <c:v>38777</c:v>
                </c:pt>
                <c:pt idx="52">
                  <c:v>38808</c:v>
                </c:pt>
                <c:pt idx="53">
                  <c:v>38838</c:v>
                </c:pt>
                <c:pt idx="54">
                  <c:v>38869</c:v>
                </c:pt>
                <c:pt idx="55">
                  <c:v>38899</c:v>
                </c:pt>
                <c:pt idx="56">
                  <c:v>38930</c:v>
                </c:pt>
                <c:pt idx="57">
                  <c:v>38961</c:v>
                </c:pt>
                <c:pt idx="58">
                  <c:v>38991</c:v>
                </c:pt>
                <c:pt idx="59">
                  <c:v>39022</c:v>
                </c:pt>
                <c:pt idx="60">
                  <c:v>39052</c:v>
                </c:pt>
                <c:pt idx="61">
                  <c:v>39083</c:v>
                </c:pt>
                <c:pt idx="62">
                  <c:v>39114</c:v>
                </c:pt>
                <c:pt idx="63">
                  <c:v>39142</c:v>
                </c:pt>
                <c:pt idx="64">
                  <c:v>39173</c:v>
                </c:pt>
                <c:pt idx="65">
                  <c:v>39203</c:v>
                </c:pt>
                <c:pt idx="66">
                  <c:v>39234</c:v>
                </c:pt>
                <c:pt idx="67">
                  <c:v>39264</c:v>
                </c:pt>
                <c:pt idx="68">
                  <c:v>39295</c:v>
                </c:pt>
                <c:pt idx="69">
                  <c:v>39326</c:v>
                </c:pt>
                <c:pt idx="70">
                  <c:v>39356</c:v>
                </c:pt>
                <c:pt idx="71">
                  <c:v>39387</c:v>
                </c:pt>
                <c:pt idx="72">
                  <c:v>39417</c:v>
                </c:pt>
                <c:pt idx="73">
                  <c:v>39448</c:v>
                </c:pt>
                <c:pt idx="74">
                  <c:v>39479</c:v>
                </c:pt>
                <c:pt idx="75">
                  <c:v>39508</c:v>
                </c:pt>
                <c:pt idx="76">
                  <c:v>39539</c:v>
                </c:pt>
                <c:pt idx="77">
                  <c:v>39569</c:v>
                </c:pt>
                <c:pt idx="78">
                  <c:v>39600</c:v>
                </c:pt>
                <c:pt idx="79">
                  <c:v>39630</c:v>
                </c:pt>
                <c:pt idx="80">
                  <c:v>39661</c:v>
                </c:pt>
                <c:pt idx="81">
                  <c:v>39692</c:v>
                </c:pt>
                <c:pt idx="82">
                  <c:v>39722</c:v>
                </c:pt>
                <c:pt idx="83">
                  <c:v>39753</c:v>
                </c:pt>
                <c:pt idx="84">
                  <c:v>39783</c:v>
                </c:pt>
                <c:pt idx="85">
                  <c:v>39814</c:v>
                </c:pt>
                <c:pt idx="86">
                  <c:v>39845</c:v>
                </c:pt>
                <c:pt idx="87">
                  <c:v>39873</c:v>
                </c:pt>
                <c:pt idx="88">
                  <c:v>39904</c:v>
                </c:pt>
                <c:pt idx="89">
                  <c:v>39934</c:v>
                </c:pt>
                <c:pt idx="90">
                  <c:v>39965</c:v>
                </c:pt>
                <c:pt idx="91">
                  <c:v>39995</c:v>
                </c:pt>
                <c:pt idx="92">
                  <c:v>40026</c:v>
                </c:pt>
                <c:pt idx="93">
                  <c:v>40057</c:v>
                </c:pt>
                <c:pt idx="94">
                  <c:v>40087</c:v>
                </c:pt>
                <c:pt idx="95">
                  <c:v>40118</c:v>
                </c:pt>
                <c:pt idx="96">
                  <c:v>40148</c:v>
                </c:pt>
                <c:pt idx="97">
                  <c:v>40179</c:v>
                </c:pt>
                <c:pt idx="98">
                  <c:v>40210</c:v>
                </c:pt>
                <c:pt idx="99">
                  <c:v>40238</c:v>
                </c:pt>
                <c:pt idx="100">
                  <c:v>40269</c:v>
                </c:pt>
                <c:pt idx="101">
                  <c:v>40299</c:v>
                </c:pt>
                <c:pt idx="102">
                  <c:v>40330</c:v>
                </c:pt>
                <c:pt idx="103">
                  <c:v>40360</c:v>
                </c:pt>
                <c:pt idx="104">
                  <c:v>40391</c:v>
                </c:pt>
                <c:pt idx="105">
                  <c:v>40422</c:v>
                </c:pt>
                <c:pt idx="106">
                  <c:v>40452</c:v>
                </c:pt>
                <c:pt idx="107">
                  <c:v>40483</c:v>
                </c:pt>
                <c:pt idx="108">
                  <c:v>40513</c:v>
                </c:pt>
                <c:pt idx="109">
                  <c:v>40544</c:v>
                </c:pt>
                <c:pt idx="110">
                  <c:v>40575</c:v>
                </c:pt>
                <c:pt idx="111">
                  <c:v>40603</c:v>
                </c:pt>
                <c:pt idx="112">
                  <c:v>40634</c:v>
                </c:pt>
                <c:pt idx="113">
                  <c:v>40664</c:v>
                </c:pt>
                <c:pt idx="114">
                  <c:v>40695</c:v>
                </c:pt>
                <c:pt idx="115">
                  <c:v>40725</c:v>
                </c:pt>
                <c:pt idx="116">
                  <c:v>40756</c:v>
                </c:pt>
                <c:pt idx="117">
                  <c:v>40787</c:v>
                </c:pt>
                <c:pt idx="118">
                  <c:v>40817</c:v>
                </c:pt>
                <c:pt idx="119">
                  <c:v>40848</c:v>
                </c:pt>
                <c:pt idx="120">
                  <c:v>40878</c:v>
                </c:pt>
                <c:pt idx="121">
                  <c:v>40909</c:v>
                </c:pt>
                <c:pt idx="122">
                  <c:v>40940</c:v>
                </c:pt>
                <c:pt idx="123">
                  <c:v>40969</c:v>
                </c:pt>
                <c:pt idx="124">
                  <c:v>41000</c:v>
                </c:pt>
                <c:pt idx="125">
                  <c:v>41030</c:v>
                </c:pt>
                <c:pt idx="126">
                  <c:v>41061</c:v>
                </c:pt>
                <c:pt idx="127">
                  <c:v>41091</c:v>
                </c:pt>
                <c:pt idx="128">
                  <c:v>41122</c:v>
                </c:pt>
                <c:pt idx="129">
                  <c:v>41153</c:v>
                </c:pt>
                <c:pt idx="130">
                  <c:v>41183</c:v>
                </c:pt>
                <c:pt idx="131">
                  <c:v>41214</c:v>
                </c:pt>
                <c:pt idx="132">
                  <c:v>41244</c:v>
                </c:pt>
                <c:pt idx="133">
                  <c:v>41275</c:v>
                </c:pt>
                <c:pt idx="134">
                  <c:v>41306</c:v>
                </c:pt>
                <c:pt idx="135">
                  <c:v>41334</c:v>
                </c:pt>
                <c:pt idx="136">
                  <c:v>41365</c:v>
                </c:pt>
                <c:pt idx="137">
                  <c:v>41395</c:v>
                </c:pt>
                <c:pt idx="138">
                  <c:v>41426</c:v>
                </c:pt>
                <c:pt idx="139">
                  <c:v>41456</c:v>
                </c:pt>
                <c:pt idx="140">
                  <c:v>41487</c:v>
                </c:pt>
                <c:pt idx="141">
                  <c:v>41518</c:v>
                </c:pt>
                <c:pt idx="142">
                  <c:v>41548</c:v>
                </c:pt>
                <c:pt idx="143">
                  <c:v>41579</c:v>
                </c:pt>
                <c:pt idx="144">
                  <c:v>41609</c:v>
                </c:pt>
                <c:pt idx="145">
                  <c:v>41640</c:v>
                </c:pt>
                <c:pt idx="146">
                  <c:v>41671</c:v>
                </c:pt>
                <c:pt idx="147">
                  <c:v>41699</c:v>
                </c:pt>
                <c:pt idx="148">
                  <c:v>41730</c:v>
                </c:pt>
                <c:pt idx="149">
                  <c:v>41760</c:v>
                </c:pt>
                <c:pt idx="150">
                  <c:v>41791</c:v>
                </c:pt>
                <c:pt idx="151">
                  <c:v>41821</c:v>
                </c:pt>
                <c:pt idx="152">
                  <c:v>41852</c:v>
                </c:pt>
                <c:pt idx="153">
                  <c:v>41883</c:v>
                </c:pt>
                <c:pt idx="154">
                  <c:v>41913</c:v>
                </c:pt>
                <c:pt idx="155">
                  <c:v>41944</c:v>
                </c:pt>
                <c:pt idx="156">
                  <c:v>41974</c:v>
                </c:pt>
                <c:pt idx="157">
                  <c:v>42005</c:v>
                </c:pt>
                <c:pt idx="158">
                  <c:v>42036</c:v>
                </c:pt>
                <c:pt idx="159">
                  <c:v>42064</c:v>
                </c:pt>
                <c:pt idx="160">
                  <c:v>42095</c:v>
                </c:pt>
                <c:pt idx="161">
                  <c:v>42125</c:v>
                </c:pt>
                <c:pt idx="162">
                  <c:v>42156</c:v>
                </c:pt>
                <c:pt idx="163">
                  <c:v>42186</c:v>
                </c:pt>
                <c:pt idx="164">
                  <c:v>42217</c:v>
                </c:pt>
                <c:pt idx="165">
                  <c:v>42248</c:v>
                </c:pt>
                <c:pt idx="166">
                  <c:v>42278</c:v>
                </c:pt>
                <c:pt idx="167">
                  <c:v>42309</c:v>
                </c:pt>
                <c:pt idx="168">
                  <c:v>42339</c:v>
                </c:pt>
                <c:pt idx="169">
                  <c:v>42370</c:v>
                </c:pt>
                <c:pt idx="170">
                  <c:v>42401</c:v>
                </c:pt>
                <c:pt idx="171">
                  <c:v>42430</c:v>
                </c:pt>
                <c:pt idx="172">
                  <c:v>42461</c:v>
                </c:pt>
                <c:pt idx="173">
                  <c:v>42491</c:v>
                </c:pt>
                <c:pt idx="174">
                  <c:v>42522</c:v>
                </c:pt>
                <c:pt idx="175">
                  <c:v>42552</c:v>
                </c:pt>
                <c:pt idx="176">
                  <c:v>42583</c:v>
                </c:pt>
                <c:pt idx="177">
                  <c:v>42614</c:v>
                </c:pt>
                <c:pt idx="178">
                  <c:v>42644</c:v>
                </c:pt>
                <c:pt idx="179">
                  <c:v>42675</c:v>
                </c:pt>
                <c:pt idx="180">
                  <c:v>42705</c:v>
                </c:pt>
                <c:pt idx="181">
                  <c:v>42736</c:v>
                </c:pt>
                <c:pt idx="182">
                  <c:v>42767</c:v>
                </c:pt>
                <c:pt idx="183">
                  <c:v>42795</c:v>
                </c:pt>
                <c:pt idx="184">
                  <c:v>42826</c:v>
                </c:pt>
                <c:pt idx="185">
                  <c:v>42856</c:v>
                </c:pt>
                <c:pt idx="186">
                  <c:v>42887</c:v>
                </c:pt>
                <c:pt idx="187">
                  <c:v>42917</c:v>
                </c:pt>
                <c:pt idx="188">
                  <c:v>42948</c:v>
                </c:pt>
                <c:pt idx="189">
                  <c:v>42979</c:v>
                </c:pt>
                <c:pt idx="190">
                  <c:v>43009</c:v>
                </c:pt>
                <c:pt idx="191">
                  <c:v>43040</c:v>
                </c:pt>
                <c:pt idx="192">
                  <c:v>43070</c:v>
                </c:pt>
                <c:pt idx="193">
                  <c:v>43101</c:v>
                </c:pt>
                <c:pt idx="194">
                  <c:v>43132</c:v>
                </c:pt>
                <c:pt idx="195">
                  <c:v>43160</c:v>
                </c:pt>
                <c:pt idx="196">
                  <c:v>43191</c:v>
                </c:pt>
                <c:pt idx="197">
                  <c:v>43221</c:v>
                </c:pt>
                <c:pt idx="198">
                  <c:v>43252</c:v>
                </c:pt>
                <c:pt idx="199">
                  <c:v>43282</c:v>
                </c:pt>
                <c:pt idx="200">
                  <c:v>43313</c:v>
                </c:pt>
                <c:pt idx="201">
                  <c:v>43344</c:v>
                </c:pt>
                <c:pt idx="202">
                  <c:v>43374</c:v>
                </c:pt>
                <c:pt idx="203">
                  <c:v>43405</c:v>
                </c:pt>
                <c:pt idx="204">
                  <c:v>43435</c:v>
                </c:pt>
                <c:pt idx="205">
                  <c:v>43466</c:v>
                </c:pt>
                <c:pt idx="206">
                  <c:v>43497</c:v>
                </c:pt>
                <c:pt idx="207">
                  <c:v>43525</c:v>
                </c:pt>
                <c:pt idx="208">
                  <c:v>43556</c:v>
                </c:pt>
                <c:pt idx="209">
                  <c:v>43586</c:v>
                </c:pt>
                <c:pt idx="210">
                  <c:v>43617</c:v>
                </c:pt>
                <c:pt idx="211">
                  <c:v>43647</c:v>
                </c:pt>
                <c:pt idx="212">
                  <c:v>43678</c:v>
                </c:pt>
                <c:pt idx="213">
                  <c:v>43709</c:v>
                </c:pt>
                <c:pt idx="214">
                  <c:v>43739</c:v>
                </c:pt>
                <c:pt idx="215">
                  <c:v>43770</c:v>
                </c:pt>
                <c:pt idx="216">
                  <c:v>43800</c:v>
                </c:pt>
                <c:pt idx="217">
                  <c:v>43831</c:v>
                </c:pt>
                <c:pt idx="218">
                  <c:v>43862</c:v>
                </c:pt>
                <c:pt idx="219">
                  <c:v>43891</c:v>
                </c:pt>
                <c:pt idx="220">
                  <c:v>43922</c:v>
                </c:pt>
                <c:pt idx="221">
                  <c:v>43952</c:v>
                </c:pt>
                <c:pt idx="222">
                  <c:v>43983</c:v>
                </c:pt>
                <c:pt idx="223">
                  <c:v>44013</c:v>
                </c:pt>
                <c:pt idx="224">
                  <c:v>44044</c:v>
                </c:pt>
                <c:pt idx="225">
                  <c:v>44075</c:v>
                </c:pt>
                <c:pt idx="226">
                  <c:v>44105</c:v>
                </c:pt>
                <c:pt idx="227">
                  <c:v>44136</c:v>
                </c:pt>
                <c:pt idx="228">
                  <c:v>44166</c:v>
                </c:pt>
                <c:pt idx="229">
                  <c:v>44197</c:v>
                </c:pt>
                <c:pt idx="230">
                  <c:v>44228</c:v>
                </c:pt>
                <c:pt idx="231">
                  <c:v>44256</c:v>
                </c:pt>
                <c:pt idx="232">
                  <c:v>44287</c:v>
                </c:pt>
                <c:pt idx="233">
                  <c:v>44317</c:v>
                </c:pt>
                <c:pt idx="234">
                  <c:v>44348</c:v>
                </c:pt>
                <c:pt idx="235">
                  <c:v>44378</c:v>
                </c:pt>
                <c:pt idx="236">
                  <c:v>44409</c:v>
                </c:pt>
                <c:pt idx="237">
                  <c:v>44440</c:v>
                </c:pt>
                <c:pt idx="238">
                  <c:v>44470</c:v>
                </c:pt>
                <c:pt idx="239">
                  <c:v>44501</c:v>
                </c:pt>
                <c:pt idx="240">
                  <c:v>44531</c:v>
                </c:pt>
                <c:pt idx="241">
                  <c:v>44562</c:v>
                </c:pt>
                <c:pt idx="242">
                  <c:v>44593</c:v>
                </c:pt>
                <c:pt idx="243">
                  <c:v>44621</c:v>
                </c:pt>
                <c:pt idx="244">
                  <c:v>44652</c:v>
                </c:pt>
                <c:pt idx="245">
                  <c:v>44682</c:v>
                </c:pt>
                <c:pt idx="246">
                  <c:v>44713</c:v>
                </c:pt>
                <c:pt idx="247">
                  <c:v>44743</c:v>
                </c:pt>
                <c:pt idx="248">
                  <c:v>44774</c:v>
                </c:pt>
                <c:pt idx="249">
                  <c:v>44805</c:v>
                </c:pt>
                <c:pt idx="250">
                  <c:v>44835</c:v>
                </c:pt>
                <c:pt idx="251">
                  <c:v>44866</c:v>
                </c:pt>
                <c:pt idx="252">
                  <c:v>44896</c:v>
                </c:pt>
                <c:pt idx="253">
                  <c:v>44927</c:v>
                </c:pt>
                <c:pt idx="254">
                  <c:v>44958</c:v>
                </c:pt>
                <c:pt idx="255">
                  <c:v>44986</c:v>
                </c:pt>
                <c:pt idx="256">
                  <c:v>45017</c:v>
                </c:pt>
                <c:pt idx="257">
                  <c:v>45047</c:v>
                </c:pt>
                <c:pt idx="258">
                  <c:v>45078</c:v>
                </c:pt>
                <c:pt idx="259">
                  <c:v>45108</c:v>
                </c:pt>
                <c:pt idx="260">
                  <c:v>45139</c:v>
                </c:pt>
                <c:pt idx="261">
                  <c:v>45170</c:v>
                </c:pt>
                <c:pt idx="262">
                  <c:v>45200</c:v>
                </c:pt>
                <c:pt idx="263">
                  <c:v>45231</c:v>
                </c:pt>
              </c:numCache>
            </c:numRef>
          </c:cat>
          <c:val>
            <c:numRef>
              <c:f>Data!$B$18:$B$281</c:f>
              <c:numCache>
                <c:formatCode>"kr"#,##0_);\("kr"#,##0\)</c:formatCode>
                <c:ptCount val="264"/>
                <c:pt idx="0">
                  <c:v>20191921</c:v>
                </c:pt>
                <c:pt idx="1">
                  <c:v>20208334</c:v>
                </c:pt>
                <c:pt idx="2">
                  <c:v>20193144</c:v>
                </c:pt>
                <c:pt idx="3">
                  <c:v>19652948</c:v>
                </c:pt>
                <c:pt idx="4">
                  <c:v>20375859</c:v>
                </c:pt>
                <c:pt idx="5">
                  <c:v>20167143</c:v>
                </c:pt>
                <c:pt idx="6">
                  <c:v>21296952</c:v>
                </c:pt>
                <c:pt idx="7">
                  <c:v>22092087</c:v>
                </c:pt>
                <c:pt idx="8">
                  <c:v>21510344</c:v>
                </c:pt>
                <c:pt idx="9">
                  <c:v>21638335</c:v>
                </c:pt>
                <c:pt idx="10">
                  <c:v>21638636</c:v>
                </c:pt>
                <c:pt idx="11">
                  <c:v>21326903</c:v>
                </c:pt>
                <c:pt idx="12">
                  <c:v>21856448</c:v>
                </c:pt>
                <c:pt idx="13">
                  <c:v>22208626</c:v>
                </c:pt>
                <c:pt idx="14">
                  <c:v>23022531</c:v>
                </c:pt>
                <c:pt idx="15">
                  <c:v>23988602</c:v>
                </c:pt>
                <c:pt idx="16">
                  <c:v>23777990</c:v>
                </c:pt>
                <c:pt idx="17">
                  <c:v>24363461</c:v>
                </c:pt>
                <c:pt idx="18">
                  <c:v>23155002</c:v>
                </c:pt>
                <c:pt idx="19">
                  <c:v>23780614</c:v>
                </c:pt>
                <c:pt idx="20">
                  <c:v>24774557</c:v>
                </c:pt>
                <c:pt idx="21">
                  <c:v>25601894</c:v>
                </c:pt>
                <c:pt idx="22">
                  <c:v>25273956</c:v>
                </c:pt>
                <c:pt idx="23">
                  <c:v>25821898</c:v>
                </c:pt>
                <c:pt idx="24">
                  <c:v>25976510</c:v>
                </c:pt>
                <c:pt idx="25">
                  <c:v>25434976</c:v>
                </c:pt>
                <c:pt idx="26">
                  <c:v>25751715</c:v>
                </c:pt>
                <c:pt idx="27">
                  <c:v>25944364</c:v>
                </c:pt>
                <c:pt idx="28">
                  <c:v>26809962</c:v>
                </c:pt>
                <c:pt idx="29">
                  <c:v>27495468</c:v>
                </c:pt>
                <c:pt idx="30">
                  <c:v>29047667</c:v>
                </c:pt>
                <c:pt idx="31">
                  <c:v>27516950</c:v>
                </c:pt>
                <c:pt idx="32">
                  <c:v>27224901</c:v>
                </c:pt>
                <c:pt idx="33">
                  <c:v>28109208</c:v>
                </c:pt>
                <c:pt idx="34">
                  <c:v>29187399</c:v>
                </c:pt>
                <c:pt idx="35">
                  <c:v>30182401</c:v>
                </c:pt>
                <c:pt idx="36">
                  <c:v>31193814</c:v>
                </c:pt>
                <c:pt idx="37">
                  <c:v>31871429</c:v>
                </c:pt>
                <c:pt idx="38">
                  <c:v>32212228</c:v>
                </c:pt>
                <c:pt idx="39">
                  <c:v>33368150</c:v>
                </c:pt>
                <c:pt idx="40">
                  <c:v>34632470</c:v>
                </c:pt>
                <c:pt idx="41">
                  <c:v>34565585</c:v>
                </c:pt>
                <c:pt idx="42">
                  <c:v>34684897.109999999</c:v>
                </c:pt>
                <c:pt idx="43">
                  <c:v>35534092.969999999</c:v>
                </c:pt>
                <c:pt idx="44">
                  <c:v>36276754.049999997</c:v>
                </c:pt>
                <c:pt idx="45">
                  <c:v>36132165.159999996</c:v>
                </c:pt>
                <c:pt idx="46">
                  <c:v>35850653.549999997</c:v>
                </c:pt>
                <c:pt idx="47">
                  <c:v>35280326.299999997</c:v>
                </c:pt>
                <c:pt idx="48">
                  <c:v>35737578.049999997</c:v>
                </c:pt>
                <c:pt idx="49">
                  <c:v>36419687.089999996</c:v>
                </c:pt>
                <c:pt idx="50">
                  <c:v>37402303.779999994</c:v>
                </c:pt>
                <c:pt idx="51">
                  <c:v>37153757.230000004</c:v>
                </c:pt>
                <c:pt idx="52">
                  <c:v>36541966.609999999</c:v>
                </c:pt>
                <c:pt idx="53">
                  <c:v>37523781.789999999</c:v>
                </c:pt>
                <c:pt idx="54">
                  <c:v>36526841.68</c:v>
                </c:pt>
                <c:pt idx="55">
                  <c:v>36747823.289999999</c:v>
                </c:pt>
                <c:pt idx="56">
                  <c:v>36452222.859999999</c:v>
                </c:pt>
                <c:pt idx="57">
                  <c:v>36421138.269999996</c:v>
                </c:pt>
                <c:pt idx="58">
                  <c:v>37532324.879999995</c:v>
                </c:pt>
                <c:pt idx="59">
                  <c:v>38853371.479999997</c:v>
                </c:pt>
                <c:pt idx="60">
                  <c:v>40722239.699999996</c:v>
                </c:pt>
                <c:pt idx="61">
                  <c:v>41108152.659999996</c:v>
                </c:pt>
                <c:pt idx="62">
                  <c:v>40203900.969999999</c:v>
                </c:pt>
                <c:pt idx="63">
                  <c:v>41003430.620000005</c:v>
                </c:pt>
                <c:pt idx="64">
                  <c:v>40581025.240000002</c:v>
                </c:pt>
                <c:pt idx="65">
                  <c:v>41399075.059999995</c:v>
                </c:pt>
                <c:pt idx="66">
                  <c:v>42251716.060000002</c:v>
                </c:pt>
                <c:pt idx="67">
                  <c:v>41964965.589999996</c:v>
                </c:pt>
                <c:pt idx="68">
                  <c:v>42959652.710000001</c:v>
                </c:pt>
                <c:pt idx="69">
                  <c:v>44202940.720000006</c:v>
                </c:pt>
                <c:pt idx="70">
                  <c:v>45610986.720000006</c:v>
                </c:pt>
                <c:pt idx="71">
                  <c:v>46041948.839999996</c:v>
                </c:pt>
                <c:pt idx="72">
                  <c:v>44939359.220000006</c:v>
                </c:pt>
                <c:pt idx="73">
                  <c:v>45764856.220000006</c:v>
                </c:pt>
                <c:pt idx="74">
                  <c:v>49152083.220000006</c:v>
                </c:pt>
                <c:pt idx="75">
                  <c:v>48407579.119999997</c:v>
                </c:pt>
                <c:pt idx="76">
                  <c:v>50916207.119999997</c:v>
                </c:pt>
                <c:pt idx="77">
                  <c:v>51699398.119999997</c:v>
                </c:pt>
                <c:pt idx="78">
                  <c:v>52085693.119999997</c:v>
                </c:pt>
                <c:pt idx="79">
                  <c:v>53022101.119999997</c:v>
                </c:pt>
                <c:pt idx="80">
                  <c:v>54345540.350000001</c:v>
                </c:pt>
                <c:pt idx="81">
                  <c:v>54179764.82</c:v>
                </c:pt>
                <c:pt idx="82">
                  <c:v>54160762.82</c:v>
                </c:pt>
                <c:pt idx="83">
                  <c:v>53182484.350000001</c:v>
                </c:pt>
                <c:pt idx="84">
                  <c:v>51182722</c:v>
                </c:pt>
                <c:pt idx="85">
                  <c:v>50158572</c:v>
                </c:pt>
                <c:pt idx="86">
                  <c:v>46053117</c:v>
                </c:pt>
                <c:pt idx="87">
                  <c:v>45360564</c:v>
                </c:pt>
                <c:pt idx="88">
                  <c:v>42280220</c:v>
                </c:pt>
                <c:pt idx="89">
                  <c:v>39405369</c:v>
                </c:pt>
                <c:pt idx="90">
                  <c:v>38586715</c:v>
                </c:pt>
                <c:pt idx="91">
                  <c:v>37235292</c:v>
                </c:pt>
                <c:pt idx="92">
                  <c:v>33724702</c:v>
                </c:pt>
                <c:pt idx="93">
                  <c:v>32249667</c:v>
                </c:pt>
                <c:pt idx="94">
                  <c:v>28898971</c:v>
                </c:pt>
                <c:pt idx="95">
                  <c:v>27643195</c:v>
                </c:pt>
                <c:pt idx="96">
                  <c:v>27791178</c:v>
                </c:pt>
                <c:pt idx="97">
                  <c:v>26554052</c:v>
                </c:pt>
                <c:pt idx="98">
                  <c:v>26540834</c:v>
                </c:pt>
                <c:pt idx="99">
                  <c:v>26769780</c:v>
                </c:pt>
                <c:pt idx="100">
                  <c:v>27471293</c:v>
                </c:pt>
                <c:pt idx="101">
                  <c:v>28750467</c:v>
                </c:pt>
                <c:pt idx="102">
                  <c:v>28467546</c:v>
                </c:pt>
                <c:pt idx="103">
                  <c:v>29261877</c:v>
                </c:pt>
                <c:pt idx="104">
                  <c:v>31963015</c:v>
                </c:pt>
                <c:pt idx="105">
                  <c:v>33028279</c:v>
                </c:pt>
                <c:pt idx="106">
                  <c:v>35122238</c:v>
                </c:pt>
                <c:pt idx="107">
                  <c:v>35667639</c:v>
                </c:pt>
                <c:pt idx="108">
                  <c:v>35902211</c:v>
                </c:pt>
                <c:pt idx="109">
                  <c:v>36503081</c:v>
                </c:pt>
                <c:pt idx="110">
                  <c:v>38976350</c:v>
                </c:pt>
                <c:pt idx="111">
                  <c:v>40115597</c:v>
                </c:pt>
                <c:pt idx="112">
                  <c:v>40990678</c:v>
                </c:pt>
                <c:pt idx="113">
                  <c:v>41369381</c:v>
                </c:pt>
                <c:pt idx="114">
                  <c:v>43168875</c:v>
                </c:pt>
                <c:pt idx="115">
                  <c:v>44317716</c:v>
                </c:pt>
                <c:pt idx="116">
                  <c:v>43773742</c:v>
                </c:pt>
                <c:pt idx="117">
                  <c:v>44157675</c:v>
                </c:pt>
                <c:pt idx="118">
                  <c:v>45697348</c:v>
                </c:pt>
                <c:pt idx="119">
                  <c:v>47986745</c:v>
                </c:pt>
                <c:pt idx="120">
                  <c:v>49088803</c:v>
                </c:pt>
                <c:pt idx="121">
                  <c:v>50786721</c:v>
                </c:pt>
                <c:pt idx="122">
                  <c:v>51284024</c:v>
                </c:pt>
                <c:pt idx="123">
                  <c:v>50454362</c:v>
                </c:pt>
                <c:pt idx="124">
                  <c:v>50090381</c:v>
                </c:pt>
                <c:pt idx="125">
                  <c:v>51095993</c:v>
                </c:pt>
                <c:pt idx="126">
                  <c:v>49831924</c:v>
                </c:pt>
                <c:pt idx="127">
                  <c:v>49270698</c:v>
                </c:pt>
                <c:pt idx="128">
                  <c:v>49153931</c:v>
                </c:pt>
                <c:pt idx="129">
                  <c:v>49579675</c:v>
                </c:pt>
                <c:pt idx="130">
                  <c:v>48437453</c:v>
                </c:pt>
                <c:pt idx="131">
                  <c:v>47575336</c:v>
                </c:pt>
                <c:pt idx="132">
                  <c:v>46303235</c:v>
                </c:pt>
                <c:pt idx="133">
                  <c:v>45317988</c:v>
                </c:pt>
                <c:pt idx="134">
                  <c:v>44595203.4428</c:v>
                </c:pt>
                <c:pt idx="135">
                  <c:v>46051462.144699998</c:v>
                </c:pt>
                <c:pt idx="136">
                  <c:v>46423943.144699998</c:v>
                </c:pt>
                <c:pt idx="137">
                  <c:v>44492798.144699998</c:v>
                </c:pt>
                <c:pt idx="138">
                  <c:v>44921198.144699998</c:v>
                </c:pt>
                <c:pt idx="139">
                  <c:v>44759114.144699998</c:v>
                </c:pt>
                <c:pt idx="140">
                  <c:v>44549756.144699998</c:v>
                </c:pt>
                <c:pt idx="141">
                  <c:v>43845321.144699998</c:v>
                </c:pt>
                <c:pt idx="142">
                  <c:v>45192188.144699998</c:v>
                </c:pt>
                <c:pt idx="143">
                  <c:v>44913118.144699998</c:v>
                </c:pt>
                <c:pt idx="144">
                  <c:v>45109641.144699998</c:v>
                </c:pt>
                <c:pt idx="145">
                  <c:v>46572462.144699998</c:v>
                </c:pt>
                <c:pt idx="146">
                  <c:v>47004378.701899998</c:v>
                </c:pt>
                <c:pt idx="147">
                  <c:v>47028680</c:v>
                </c:pt>
                <c:pt idx="148">
                  <c:v>47961773</c:v>
                </c:pt>
                <c:pt idx="149">
                  <c:v>49355083</c:v>
                </c:pt>
                <c:pt idx="150">
                  <c:v>48973441</c:v>
                </c:pt>
                <c:pt idx="151">
                  <c:v>49755629</c:v>
                </c:pt>
                <c:pt idx="152">
                  <c:v>49970695</c:v>
                </c:pt>
                <c:pt idx="153">
                  <c:v>50138841</c:v>
                </c:pt>
                <c:pt idx="154">
                  <c:v>48947000</c:v>
                </c:pt>
                <c:pt idx="155">
                  <c:v>48587000</c:v>
                </c:pt>
                <c:pt idx="156">
                  <c:v>48806000</c:v>
                </c:pt>
                <c:pt idx="157">
                  <c:v>47838000</c:v>
                </c:pt>
                <c:pt idx="158">
                  <c:v>47393000</c:v>
                </c:pt>
                <c:pt idx="159">
                  <c:v>46399000</c:v>
                </c:pt>
                <c:pt idx="160">
                  <c:v>46162000</c:v>
                </c:pt>
                <c:pt idx="161">
                  <c:v>47692000</c:v>
                </c:pt>
                <c:pt idx="162">
                  <c:v>48371000</c:v>
                </c:pt>
                <c:pt idx="163">
                  <c:v>47639000</c:v>
                </c:pt>
                <c:pt idx="164">
                  <c:v>47637000</c:v>
                </c:pt>
                <c:pt idx="165">
                  <c:v>48988000</c:v>
                </c:pt>
                <c:pt idx="166">
                  <c:v>49685000</c:v>
                </c:pt>
                <c:pt idx="167">
                  <c:v>50515000</c:v>
                </c:pt>
                <c:pt idx="168">
                  <c:v>51108000</c:v>
                </c:pt>
                <c:pt idx="169">
                  <c:v>50797000</c:v>
                </c:pt>
                <c:pt idx="170">
                  <c:v>50560000</c:v>
                </c:pt>
                <c:pt idx="171">
                  <c:v>51601000</c:v>
                </c:pt>
                <c:pt idx="172">
                  <c:v>50783000</c:v>
                </c:pt>
                <c:pt idx="173">
                  <c:v>48863000</c:v>
                </c:pt>
                <c:pt idx="174">
                  <c:v>50983000</c:v>
                </c:pt>
                <c:pt idx="175">
                  <c:v>51233000</c:v>
                </c:pt>
                <c:pt idx="176">
                  <c:v>51005000</c:v>
                </c:pt>
                <c:pt idx="177">
                  <c:v>50591000</c:v>
                </c:pt>
                <c:pt idx="178">
                  <c:v>49699000</c:v>
                </c:pt>
                <c:pt idx="179">
                  <c:v>49996000</c:v>
                </c:pt>
                <c:pt idx="180">
                  <c:v>50708000</c:v>
                </c:pt>
                <c:pt idx="181">
                  <c:v>51775000</c:v>
                </c:pt>
                <c:pt idx="182">
                  <c:v>52391000</c:v>
                </c:pt>
                <c:pt idx="183">
                  <c:v>51966000</c:v>
                </c:pt>
                <c:pt idx="184">
                  <c:v>51638000</c:v>
                </c:pt>
                <c:pt idx="185">
                  <c:v>53406000</c:v>
                </c:pt>
                <c:pt idx="186">
                  <c:v>51817000</c:v>
                </c:pt>
                <c:pt idx="187">
                  <c:v>51862000</c:v>
                </c:pt>
                <c:pt idx="188">
                  <c:v>53702000</c:v>
                </c:pt>
                <c:pt idx="189">
                  <c:v>55599000</c:v>
                </c:pt>
                <c:pt idx="190">
                  <c:v>56172000</c:v>
                </c:pt>
                <c:pt idx="191">
                  <c:v>56147000</c:v>
                </c:pt>
                <c:pt idx="192">
                  <c:v>58268000</c:v>
                </c:pt>
                <c:pt idx="193">
                  <c:v>60469000</c:v>
                </c:pt>
                <c:pt idx="194">
                  <c:v>61645000</c:v>
                </c:pt>
                <c:pt idx="195">
                  <c:v>62701000</c:v>
                </c:pt>
                <c:pt idx="196">
                  <c:v>67202000</c:v>
                </c:pt>
                <c:pt idx="197">
                  <c:v>67855000</c:v>
                </c:pt>
                <c:pt idx="198">
                  <c:v>69669000</c:v>
                </c:pt>
                <c:pt idx="199">
                  <c:v>74916000</c:v>
                </c:pt>
                <c:pt idx="200">
                  <c:v>75144000</c:v>
                </c:pt>
                <c:pt idx="201">
                  <c:v>74480000</c:v>
                </c:pt>
                <c:pt idx="202">
                  <c:v>76299000</c:v>
                </c:pt>
                <c:pt idx="203">
                  <c:v>76472000</c:v>
                </c:pt>
                <c:pt idx="204">
                  <c:v>74388000</c:v>
                </c:pt>
                <c:pt idx="205">
                  <c:v>74030360</c:v>
                </c:pt>
                <c:pt idx="206">
                  <c:v>73528661</c:v>
                </c:pt>
                <c:pt idx="207">
                  <c:v>74408661</c:v>
                </c:pt>
                <c:pt idx="208">
                  <c:v>73308661</c:v>
                </c:pt>
                <c:pt idx="209">
                  <c:v>73856956</c:v>
                </c:pt>
                <c:pt idx="210">
                  <c:v>72963889</c:v>
                </c:pt>
                <c:pt idx="211">
                  <c:v>68999191</c:v>
                </c:pt>
                <c:pt idx="212">
                  <c:v>69029451</c:v>
                </c:pt>
                <c:pt idx="213">
                  <c:v>71340226</c:v>
                </c:pt>
                <c:pt idx="214">
                  <c:v>70121496</c:v>
                </c:pt>
                <c:pt idx="215">
                  <c:v>71597382</c:v>
                </c:pt>
                <c:pt idx="216">
                  <c:v>71404311</c:v>
                </c:pt>
                <c:pt idx="217">
                  <c:v>72449056</c:v>
                </c:pt>
                <c:pt idx="218">
                  <c:v>71878016</c:v>
                </c:pt>
                <c:pt idx="219">
                  <c:v>75129631</c:v>
                </c:pt>
                <c:pt idx="220">
                  <c:v>73607253</c:v>
                </c:pt>
                <c:pt idx="221">
                  <c:v>71047088</c:v>
                </c:pt>
                <c:pt idx="222">
                  <c:v>69376155</c:v>
                </c:pt>
                <c:pt idx="223">
                  <c:v>67819853</c:v>
                </c:pt>
                <c:pt idx="224">
                  <c:v>65791593</c:v>
                </c:pt>
                <c:pt idx="225">
                  <c:v>65191818</c:v>
                </c:pt>
                <c:pt idx="226">
                  <c:v>65868548</c:v>
                </c:pt>
                <c:pt idx="227">
                  <c:v>65619662</c:v>
                </c:pt>
                <c:pt idx="228">
                  <c:v>70258069</c:v>
                </c:pt>
                <c:pt idx="229">
                  <c:v>67730033</c:v>
                </c:pt>
                <c:pt idx="230">
                  <c:v>67250068</c:v>
                </c:pt>
                <c:pt idx="231">
                  <c:v>65246523</c:v>
                </c:pt>
                <c:pt idx="232">
                  <c:v>66622353</c:v>
                </c:pt>
                <c:pt idx="233">
                  <c:v>68989264</c:v>
                </c:pt>
                <c:pt idx="234">
                  <c:v>71511746</c:v>
                </c:pt>
                <c:pt idx="235">
                  <c:v>73194010</c:v>
                </c:pt>
                <c:pt idx="236">
                  <c:v>75893746</c:v>
                </c:pt>
                <c:pt idx="237">
                  <c:v>76754638</c:v>
                </c:pt>
                <c:pt idx="238">
                  <c:v>78545084</c:v>
                </c:pt>
                <c:pt idx="239">
                  <c:v>79540405</c:v>
                </c:pt>
                <c:pt idx="240">
                  <c:v>76749826</c:v>
                </c:pt>
                <c:pt idx="241">
                  <c:v>78349568</c:v>
                </c:pt>
                <c:pt idx="242">
                  <c:v>80345099</c:v>
                </c:pt>
                <c:pt idx="243">
                  <c:v>81603545</c:v>
                </c:pt>
                <c:pt idx="244">
                  <c:v>79886463</c:v>
                </c:pt>
                <c:pt idx="245">
                  <c:v>79628235</c:v>
                </c:pt>
                <c:pt idx="246">
                  <c:v>79046599</c:v>
                </c:pt>
                <c:pt idx="247">
                  <c:v>81827648</c:v>
                </c:pt>
                <c:pt idx="248">
                  <c:v>82862676</c:v>
                </c:pt>
                <c:pt idx="249">
                  <c:v>80932128</c:v>
                </c:pt>
                <c:pt idx="250">
                  <c:v>82832175</c:v>
                </c:pt>
                <c:pt idx="251">
                  <c:v>84495664</c:v>
                </c:pt>
                <c:pt idx="252">
                  <c:v>85352650</c:v>
                </c:pt>
                <c:pt idx="253">
                  <c:v>86167248</c:v>
                </c:pt>
                <c:pt idx="254">
                  <c:v>86633987</c:v>
                </c:pt>
                <c:pt idx="255">
                  <c:v>86959855</c:v>
                </c:pt>
                <c:pt idx="256">
                  <c:v>88742192</c:v>
                </c:pt>
                <c:pt idx="257">
                  <c:v>90286303</c:v>
                </c:pt>
                <c:pt idx="258">
                  <c:v>96774586</c:v>
                </c:pt>
                <c:pt idx="259">
                  <c:v>93817646</c:v>
                </c:pt>
                <c:pt idx="260">
                  <c:v>93694960</c:v>
                </c:pt>
                <c:pt idx="261">
                  <c:v>95733839</c:v>
                </c:pt>
                <c:pt idx="262">
                  <c:v>96264276</c:v>
                </c:pt>
                <c:pt idx="263">
                  <c:v>104109616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B-4D8E-9E59-A16E3C0A5C6B}"/>
            </c:ext>
          </c:extLst>
        </c:ser>
        <c:ser>
          <c:idx val="1"/>
          <c:order val="1"/>
          <c:tx>
            <c:strRef>
              <c:f>Data!$C$6</c:f>
              <c:strCache>
                <c:ptCount val="1"/>
                <c:pt idx="0">
                  <c:v>12_Month Roll_Orders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Data!$A$18:$A$281</c:f>
              <c:numCache>
                <c:formatCode>mmm\-yy</c:formatCode>
                <c:ptCount val="264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  <c:pt idx="12">
                  <c:v>37591</c:v>
                </c:pt>
                <c:pt idx="13">
                  <c:v>37622</c:v>
                </c:pt>
                <c:pt idx="14">
                  <c:v>37653</c:v>
                </c:pt>
                <c:pt idx="15">
                  <c:v>37681</c:v>
                </c:pt>
                <c:pt idx="16">
                  <c:v>37712</c:v>
                </c:pt>
                <c:pt idx="17">
                  <c:v>37742</c:v>
                </c:pt>
                <c:pt idx="18">
                  <c:v>37773</c:v>
                </c:pt>
                <c:pt idx="19">
                  <c:v>37803</c:v>
                </c:pt>
                <c:pt idx="20">
                  <c:v>37834</c:v>
                </c:pt>
                <c:pt idx="21">
                  <c:v>37865</c:v>
                </c:pt>
                <c:pt idx="22">
                  <c:v>37895</c:v>
                </c:pt>
                <c:pt idx="23">
                  <c:v>37926</c:v>
                </c:pt>
                <c:pt idx="24">
                  <c:v>37956</c:v>
                </c:pt>
                <c:pt idx="25">
                  <c:v>37987</c:v>
                </c:pt>
                <c:pt idx="26">
                  <c:v>38018</c:v>
                </c:pt>
                <c:pt idx="27">
                  <c:v>38047</c:v>
                </c:pt>
                <c:pt idx="28">
                  <c:v>38078</c:v>
                </c:pt>
                <c:pt idx="29">
                  <c:v>38108</c:v>
                </c:pt>
                <c:pt idx="30">
                  <c:v>38139</c:v>
                </c:pt>
                <c:pt idx="31">
                  <c:v>38169</c:v>
                </c:pt>
                <c:pt idx="32">
                  <c:v>38200</c:v>
                </c:pt>
                <c:pt idx="33">
                  <c:v>38231</c:v>
                </c:pt>
                <c:pt idx="34">
                  <c:v>38261</c:v>
                </c:pt>
                <c:pt idx="35">
                  <c:v>38292</c:v>
                </c:pt>
                <c:pt idx="36">
                  <c:v>38322</c:v>
                </c:pt>
                <c:pt idx="37">
                  <c:v>38353</c:v>
                </c:pt>
                <c:pt idx="38">
                  <c:v>38384</c:v>
                </c:pt>
                <c:pt idx="39">
                  <c:v>38412</c:v>
                </c:pt>
                <c:pt idx="40">
                  <c:v>38443</c:v>
                </c:pt>
                <c:pt idx="41">
                  <c:v>38473</c:v>
                </c:pt>
                <c:pt idx="42">
                  <c:v>38504</c:v>
                </c:pt>
                <c:pt idx="43">
                  <c:v>38534</c:v>
                </c:pt>
                <c:pt idx="44">
                  <c:v>38565</c:v>
                </c:pt>
                <c:pt idx="45">
                  <c:v>38596</c:v>
                </c:pt>
                <c:pt idx="46">
                  <c:v>38626</c:v>
                </c:pt>
                <c:pt idx="47">
                  <c:v>38657</c:v>
                </c:pt>
                <c:pt idx="48">
                  <c:v>38687</c:v>
                </c:pt>
                <c:pt idx="49">
                  <c:v>38718</c:v>
                </c:pt>
                <c:pt idx="50">
                  <c:v>38749</c:v>
                </c:pt>
                <c:pt idx="51">
                  <c:v>38777</c:v>
                </c:pt>
                <c:pt idx="52">
                  <c:v>38808</c:v>
                </c:pt>
                <c:pt idx="53">
                  <c:v>38838</c:v>
                </c:pt>
                <c:pt idx="54">
                  <c:v>38869</c:v>
                </c:pt>
                <c:pt idx="55">
                  <c:v>38899</c:v>
                </c:pt>
                <c:pt idx="56">
                  <c:v>38930</c:v>
                </c:pt>
                <c:pt idx="57">
                  <c:v>38961</c:v>
                </c:pt>
                <c:pt idx="58">
                  <c:v>38991</c:v>
                </c:pt>
                <c:pt idx="59">
                  <c:v>39022</c:v>
                </c:pt>
                <c:pt idx="60">
                  <c:v>39052</c:v>
                </c:pt>
                <c:pt idx="61">
                  <c:v>39083</c:v>
                </c:pt>
                <c:pt idx="62">
                  <c:v>39114</c:v>
                </c:pt>
                <c:pt idx="63">
                  <c:v>39142</c:v>
                </c:pt>
                <c:pt idx="64">
                  <c:v>39173</c:v>
                </c:pt>
                <c:pt idx="65">
                  <c:v>39203</c:v>
                </c:pt>
                <c:pt idx="66">
                  <c:v>39234</c:v>
                </c:pt>
                <c:pt idx="67">
                  <c:v>39264</c:v>
                </c:pt>
                <c:pt idx="68">
                  <c:v>39295</c:v>
                </c:pt>
                <c:pt idx="69">
                  <c:v>39326</c:v>
                </c:pt>
                <c:pt idx="70">
                  <c:v>39356</c:v>
                </c:pt>
                <c:pt idx="71">
                  <c:v>39387</c:v>
                </c:pt>
                <c:pt idx="72">
                  <c:v>39417</c:v>
                </c:pt>
                <c:pt idx="73">
                  <c:v>39448</c:v>
                </c:pt>
                <c:pt idx="74">
                  <c:v>39479</c:v>
                </c:pt>
                <c:pt idx="75">
                  <c:v>39508</c:v>
                </c:pt>
                <c:pt idx="76">
                  <c:v>39539</c:v>
                </c:pt>
                <c:pt idx="77">
                  <c:v>39569</c:v>
                </c:pt>
                <c:pt idx="78">
                  <c:v>39600</c:v>
                </c:pt>
                <c:pt idx="79">
                  <c:v>39630</c:v>
                </c:pt>
                <c:pt idx="80">
                  <c:v>39661</c:v>
                </c:pt>
                <c:pt idx="81">
                  <c:v>39692</c:v>
                </c:pt>
                <c:pt idx="82">
                  <c:v>39722</c:v>
                </c:pt>
                <c:pt idx="83">
                  <c:v>39753</c:v>
                </c:pt>
                <c:pt idx="84">
                  <c:v>39783</c:v>
                </c:pt>
                <c:pt idx="85">
                  <c:v>39814</c:v>
                </c:pt>
                <c:pt idx="86">
                  <c:v>39845</c:v>
                </c:pt>
                <c:pt idx="87">
                  <c:v>39873</c:v>
                </c:pt>
                <c:pt idx="88">
                  <c:v>39904</c:v>
                </c:pt>
                <c:pt idx="89">
                  <c:v>39934</c:v>
                </c:pt>
                <c:pt idx="90">
                  <c:v>39965</c:v>
                </c:pt>
                <c:pt idx="91">
                  <c:v>39995</c:v>
                </c:pt>
                <c:pt idx="92">
                  <c:v>40026</c:v>
                </c:pt>
                <c:pt idx="93">
                  <c:v>40057</c:v>
                </c:pt>
                <c:pt idx="94">
                  <c:v>40087</c:v>
                </c:pt>
                <c:pt idx="95">
                  <c:v>40118</c:v>
                </c:pt>
                <c:pt idx="96">
                  <c:v>40148</c:v>
                </c:pt>
                <c:pt idx="97">
                  <c:v>40179</c:v>
                </c:pt>
                <c:pt idx="98">
                  <c:v>40210</c:v>
                </c:pt>
                <c:pt idx="99">
                  <c:v>40238</c:v>
                </c:pt>
                <c:pt idx="100">
                  <c:v>40269</c:v>
                </c:pt>
                <c:pt idx="101">
                  <c:v>40299</c:v>
                </c:pt>
                <c:pt idx="102">
                  <c:v>40330</c:v>
                </c:pt>
                <c:pt idx="103">
                  <c:v>40360</c:v>
                </c:pt>
                <c:pt idx="104">
                  <c:v>40391</c:v>
                </c:pt>
                <c:pt idx="105">
                  <c:v>40422</c:v>
                </c:pt>
                <c:pt idx="106">
                  <c:v>40452</c:v>
                </c:pt>
                <c:pt idx="107">
                  <c:v>40483</c:v>
                </c:pt>
                <c:pt idx="108">
                  <c:v>40513</c:v>
                </c:pt>
                <c:pt idx="109">
                  <c:v>40544</c:v>
                </c:pt>
                <c:pt idx="110">
                  <c:v>40575</c:v>
                </c:pt>
                <c:pt idx="111">
                  <c:v>40603</c:v>
                </c:pt>
                <c:pt idx="112">
                  <c:v>40634</c:v>
                </c:pt>
                <c:pt idx="113">
                  <c:v>40664</c:v>
                </c:pt>
                <c:pt idx="114">
                  <c:v>40695</c:v>
                </c:pt>
                <c:pt idx="115">
                  <c:v>40725</c:v>
                </c:pt>
                <c:pt idx="116">
                  <c:v>40756</c:v>
                </c:pt>
                <c:pt idx="117">
                  <c:v>40787</c:v>
                </c:pt>
                <c:pt idx="118">
                  <c:v>40817</c:v>
                </c:pt>
                <c:pt idx="119">
                  <c:v>40848</c:v>
                </c:pt>
                <c:pt idx="120">
                  <c:v>40878</c:v>
                </c:pt>
                <c:pt idx="121">
                  <c:v>40909</c:v>
                </c:pt>
                <c:pt idx="122">
                  <c:v>40940</c:v>
                </c:pt>
                <c:pt idx="123">
                  <c:v>40969</c:v>
                </c:pt>
                <c:pt idx="124">
                  <c:v>41000</c:v>
                </c:pt>
                <c:pt idx="125">
                  <c:v>41030</c:v>
                </c:pt>
                <c:pt idx="126">
                  <c:v>41061</c:v>
                </c:pt>
                <c:pt idx="127">
                  <c:v>41091</c:v>
                </c:pt>
                <c:pt idx="128">
                  <c:v>41122</c:v>
                </c:pt>
                <c:pt idx="129">
                  <c:v>41153</c:v>
                </c:pt>
                <c:pt idx="130">
                  <c:v>41183</c:v>
                </c:pt>
                <c:pt idx="131">
                  <c:v>41214</c:v>
                </c:pt>
                <c:pt idx="132">
                  <c:v>41244</c:v>
                </c:pt>
                <c:pt idx="133">
                  <c:v>41275</c:v>
                </c:pt>
                <c:pt idx="134">
                  <c:v>41306</c:v>
                </c:pt>
                <c:pt idx="135">
                  <c:v>41334</c:v>
                </c:pt>
                <c:pt idx="136">
                  <c:v>41365</c:v>
                </c:pt>
                <c:pt idx="137">
                  <c:v>41395</c:v>
                </c:pt>
                <c:pt idx="138">
                  <c:v>41426</c:v>
                </c:pt>
                <c:pt idx="139">
                  <c:v>41456</c:v>
                </c:pt>
                <c:pt idx="140">
                  <c:v>41487</c:v>
                </c:pt>
                <c:pt idx="141">
                  <c:v>41518</c:v>
                </c:pt>
                <c:pt idx="142">
                  <c:v>41548</c:v>
                </c:pt>
                <c:pt idx="143">
                  <c:v>41579</c:v>
                </c:pt>
                <c:pt idx="144">
                  <c:v>41609</c:v>
                </c:pt>
                <c:pt idx="145">
                  <c:v>41640</c:v>
                </c:pt>
                <c:pt idx="146">
                  <c:v>41671</c:v>
                </c:pt>
                <c:pt idx="147">
                  <c:v>41699</c:v>
                </c:pt>
                <c:pt idx="148">
                  <c:v>41730</c:v>
                </c:pt>
                <c:pt idx="149">
                  <c:v>41760</c:v>
                </c:pt>
                <c:pt idx="150">
                  <c:v>41791</c:v>
                </c:pt>
                <c:pt idx="151">
                  <c:v>41821</c:v>
                </c:pt>
                <c:pt idx="152">
                  <c:v>41852</c:v>
                </c:pt>
                <c:pt idx="153">
                  <c:v>41883</c:v>
                </c:pt>
                <c:pt idx="154">
                  <c:v>41913</c:v>
                </c:pt>
                <c:pt idx="155">
                  <c:v>41944</c:v>
                </c:pt>
                <c:pt idx="156">
                  <c:v>41974</c:v>
                </c:pt>
                <c:pt idx="157">
                  <c:v>42005</c:v>
                </c:pt>
                <c:pt idx="158">
                  <c:v>42036</c:v>
                </c:pt>
                <c:pt idx="159">
                  <c:v>42064</c:v>
                </c:pt>
                <c:pt idx="160">
                  <c:v>42095</c:v>
                </c:pt>
                <c:pt idx="161">
                  <c:v>42125</c:v>
                </c:pt>
                <c:pt idx="162">
                  <c:v>42156</c:v>
                </c:pt>
                <c:pt idx="163">
                  <c:v>42186</c:v>
                </c:pt>
                <c:pt idx="164">
                  <c:v>42217</c:v>
                </c:pt>
                <c:pt idx="165">
                  <c:v>42248</c:v>
                </c:pt>
                <c:pt idx="166">
                  <c:v>42278</c:v>
                </c:pt>
                <c:pt idx="167">
                  <c:v>42309</c:v>
                </c:pt>
                <c:pt idx="168">
                  <c:v>42339</c:v>
                </c:pt>
                <c:pt idx="169">
                  <c:v>42370</c:v>
                </c:pt>
                <c:pt idx="170">
                  <c:v>42401</c:v>
                </c:pt>
                <c:pt idx="171">
                  <c:v>42430</c:v>
                </c:pt>
                <c:pt idx="172">
                  <c:v>42461</c:v>
                </c:pt>
                <c:pt idx="173">
                  <c:v>42491</c:v>
                </c:pt>
                <c:pt idx="174">
                  <c:v>42522</c:v>
                </c:pt>
                <c:pt idx="175">
                  <c:v>42552</c:v>
                </c:pt>
                <c:pt idx="176">
                  <c:v>42583</c:v>
                </c:pt>
                <c:pt idx="177">
                  <c:v>42614</c:v>
                </c:pt>
                <c:pt idx="178">
                  <c:v>42644</c:v>
                </c:pt>
                <c:pt idx="179">
                  <c:v>42675</c:v>
                </c:pt>
                <c:pt idx="180">
                  <c:v>42705</c:v>
                </c:pt>
                <c:pt idx="181">
                  <c:v>42736</c:v>
                </c:pt>
                <c:pt idx="182">
                  <c:v>42767</c:v>
                </c:pt>
                <c:pt idx="183">
                  <c:v>42795</c:v>
                </c:pt>
                <c:pt idx="184">
                  <c:v>42826</c:v>
                </c:pt>
                <c:pt idx="185">
                  <c:v>42856</c:v>
                </c:pt>
                <c:pt idx="186">
                  <c:v>42887</c:v>
                </c:pt>
                <c:pt idx="187">
                  <c:v>42917</c:v>
                </c:pt>
                <c:pt idx="188">
                  <c:v>42948</c:v>
                </c:pt>
                <c:pt idx="189">
                  <c:v>42979</c:v>
                </c:pt>
                <c:pt idx="190">
                  <c:v>43009</c:v>
                </c:pt>
                <c:pt idx="191">
                  <c:v>43040</c:v>
                </c:pt>
                <c:pt idx="192">
                  <c:v>43070</c:v>
                </c:pt>
                <c:pt idx="193">
                  <c:v>43101</c:v>
                </c:pt>
                <c:pt idx="194">
                  <c:v>43132</c:v>
                </c:pt>
                <c:pt idx="195">
                  <c:v>43160</c:v>
                </c:pt>
                <c:pt idx="196">
                  <c:v>43191</c:v>
                </c:pt>
                <c:pt idx="197">
                  <c:v>43221</c:v>
                </c:pt>
                <c:pt idx="198">
                  <c:v>43252</c:v>
                </c:pt>
                <c:pt idx="199">
                  <c:v>43282</c:v>
                </c:pt>
                <c:pt idx="200">
                  <c:v>43313</c:v>
                </c:pt>
                <c:pt idx="201">
                  <c:v>43344</c:v>
                </c:pt>
                <c:pt idx="202">
                  <c:v>43374</c:v>
                </c:pt>
                <c:pt idx="203">
                  <c:v>43405</c:v>
                </c:pt>
                <c:pt idx="204">
                  <c:v>43435</c:v>
                </c:pt>
                <c:pt idx="205">
                  <c:v>43466</c:v>
                </c:pt>
                <c:pt idx="206">
                  <c:v>43497</c:v>
                </c:pt>
                <c:pt idx="207">
                  <c:v>43525</c:v>
                </c:pt>
                <c:pt idx="208">
                  <c:v>43556</c:v>
                </c:pt>
                <c:pt idx="209">
                  <c:v>43586</c:v>
                </c:pt>
                <c:pt idx="210">
                  <c:v>43617</c:v>
                </c:pt>
                <c:pt idx="211">
                  <c:v>43647</c:v>
                </c:pt>
                <c:pt idx="212">
                  <c:v>43678</c:v>
                </c:pt>
                <c:pt idx="213">
                  <c:v>43709</c:v>
                </c:pt>
                <c:pt idx="214">
                  <c:v>43739</c:v>
                </c:pt>
                <c:pt idx="215">
                  <c:v>43770</c:v>
                </c:pt>
                <c:pt idx="216">
                  <c:v>43800</c:v>
                </c:pt>
                <c:pt idx="217">
                  <c:v>43831</c:v>
                </c:pt>
                <c:pt idx="218">
                  <c:v>43862</c:v>
                </c:pt>
                <c:pt idx="219">
                  <c:v>43891</c:v>
                </c:pt>
                <c:pt idx="220">
                  <c:v>43922</c:v>
                </c:pt>
                <c:pt idx="221">
                  <c:v>43952</c:v>
                </c:pt>
                <c:pt idx="222">
                  <c:v>43983</c:v>
                </c:pt>
                <c:pt idx="223">
                  <c:v>44013</c:v>
                </c:pt>
                <c:pt idx="224">
                  <c:v>44044</c:v>
                </c:pt>
                <c:pt idx="225">
                  <c:v>44075</c:v>
                </c:pt>
                <c:pt idx="226">
                  <c:v>44105</c:v>
                </c:pt>
                <c:pt idx="227">
                  <c:v>44136</c:v>
                </c:pt>
                <c:pt idx="228">
                  <c:v>44166</c:v>
                </c:pt>
                <c:pt idx="229">
                  <c:v>44197</c:v>
                </c:pt>
                <c:pt idx="230">
                  <c:v>44228</c:v>
                </c:pt>
                <c:pt idx="231">
                  <c:v>44256</c:v>
                </c:pt>
                <c:pt idx="232">
                  <c:v>44287</c:v>
                </c:pt>
                <c:pt idx="233">
                  <c:v>44317</c:v>
                </c:pt>
                <c:pt idx="234">
                  <c:v>44348</c:v>
                </c:pt>
                <c:pt idx="235">
                  <c:v>44378</c:v>
                </c:pt>
                <c:pt idx="236">
                  <c:v>44409</c:v>
                </c:pt>
                <c:pt idx="237">
                  <c:v>44440</c:v>
                </c:pt>
                <c:pt idx="238">
                  <c:v>44470</c:v>
                </c:pt>
                <c:pt idx="239">
                  <c:v>44501</c:v>
                </c:pt>
                <c:pt idx="240">
                  <c:v>44531</c:v>
                </c:pt>
                <c:pt idx="241">
                  <c:v>44562</c:v>
                </c:pt>
                <c:pt idx="242">
                  <c:v>44593</c:v>
                </c:pt>
                <c:pt idx="243">
                  <c:v>44621</c:v>
                </c:pt>
                <c:pt idx="244">
                  <c:v>44652</c:v>
                </c:pt>
                <c:pt idx="245">
                  <c:v>44682</c:v>
                </c:pt>
                <c:pt idx="246">
                  <c:v>44713</c:v>
                </c:pt>
                <c:pt idx="247">
                  <c:v>44743</c:v>
                </c:pt>
                <c:pt idx="248">
                  <c:v>44774</c:v>
                </c:pt>
                <c:pt idx="249">
                  <c:v>44805</c:v>
                </c:pt>
                <c:pt idx="250">
                  <c:v>44835</c:v>
                </c:pt>
                <c:pt idx="251">
                  <c:v>44866</c:v>
                </c:pt>
                <c:pt idx="252">
                  <c:v>44896</c:v>
                </c:pt>
                <c:pt idx="253">
                  <c:v>44927</c:v>
                </c:pt>
                <c:pt idx="254">
                  <c:v>44958</c:v>
                </c:pt>
                <c:pt idx="255">
                  <c:v>44986</c:v>
                </c:pt>
                <c:pt idx="256">
                  <c:v>45017</c:v>
                </c:pt>
                <c:pt idx="257">
                  <c:v>45047</c:v>
                </c:pt>
                <c:pt idx="258">
                  <c:v>45078</c:v>
                </c:pt>
                <c:pt idx="259">
                  <c:v>45108</c:v>
                </c:pt>
                <c:pt idx="260">
                  <c:v>45139</c:v>
                </c:pt>
                <c:pt idx="261">
                  <c:v>45170</c:v>
                </c:pt>
                <c:pt idx="262">
                  <c:v>45200</c:v>
                </c:pt>
                <c:pt idx="263">
                  <c:v>45231</c:v>
                </c:pt>
              </c:numCache>
            </c:numRef>
          </c:cat>
          <c:val>
            <c:numRef>
              <c:f>Data!$C$18:$C$281</c:f>
              <c:numCache>
                <c:formatCode>"kr"#,##0_);\("kr"#,##0\)</c:formatCode>
                <c:ptCount val="264"/>
                <c:pt idx="0">
                  <c:v>20868848</c:v>
                </c:pt>
                <c:pt idx="1">
                  <c:v>20992579</c:v>
                </c:pt>
                <c:pt idx="2">
                  <c:v>21005936</c:v>
                </c:pt>
                <c:pt idx="3">
                  <c:v>21001916</c:v>
                </c:pt>
                <c:pt idx="4">
                  <c:v>21634587</c:v>
                </c:pt>
                <c:pt idx="5">
                  <c:v>22231686</c:v>
                </c:pt>
                <c:pt idx="6">
                  <c:v>21995256</c:v>
                </c:pt>
                <c:pt idx="7">
                  <c:v>21964094</c:v>
                </c:pt>
                <c:pt idx="8">
                  <c:v>21458169</c:v>
                </c:pt>
                <c:pt idx="9">
                  <c:v>21912287</c:v>
                </c:pt>
                <c:pt idx="10">
                  <c:v>20975118</c:v>
                </c:pt>
                <c:pt idx="11">
                  <c:v>21782343</c:v>
                </c:pt>
                <c:pt idx="12">
                  <c:v>22661093</c:v>
                </c:pt>
                <c:pt idx="13">
                  <c:v>22922980</c:v>
                </c:pt>
                <c:pt idx="14">
                  <c:v>22739525</c:v>
                </c:pt>
                <c:pt idx="15">
                  <c:v>23661431</c:v>
                </c:pt>
                <c:pt idx="16">
                  <c:v>23833482</c:v>
                </c:pt>
                <c:pt idx="17">
                  <c:v>23665121</c:v>
                </c:pt>
                <c:pt idx="18">
                  <c:v>24526764</c:v>
                </c:pt>
                <c:pt idx="19">
                  <c:v>24413497</c:v>
                </c:pt>
                <c:pt idx="20">
                  <c:v>24933718</c:v>
                </c:pt>
                <c:pt idx="21">
                  <c:v>24927188</c:v>
                </c:pt>
                <c:pt idx="22">
                  <c:v>25045220</c:v>
                </c:pt>
                <c:pt idx="23">
                  <c:v>25361148</c:v>
                </c:pt>
                <c:pt idx="24">
                  <c:v>24608560</c:v>
                </c:pt>
                <c:pt idx="25">
                  <c:v>25323891</c:v>
                </c:pt>
                <c:pt idx="26">
                  <c:v>26255184</c:v>
                </c:pt>
                <c:pt idx="27">
                  <c:v>26347887</c:v>
                </c:pt>
                <c:pt idx="28">
                  <c:v>27610605</c:v>
                </c:pt>
                <c:pt idx="29">
                  <c:v>27729017</c:v>
                </c:pt>
                <c:pt idx="30">
                  <c:v>27240484</c:v>
                </c:pt>
                <c:pt idx="31">
                  <c:v>27056056</c:v>
                </c:pt>
                <c:pt idx="32">
                  <c:v>28165890</c:v>
                </c:pt>
                <c:pt idx="33">
                  <c:v>28803508</c:v>
                </c:pt>
                <c:pt idx="34">
                  <c:v>30297833</c:v>
                </c:pt>
                <c:pt idx="35">
                  <c:v>31962023</c:v>
                </c:pt>
                <c:pt idx="36">
                  <c:v>32797566</c:v>
                </c:pt>
                <c:pt idx="37">
                  <c:v>32082975</c:v>
                </c:pt>
                <c:pt idx="38">
                  <c:v>32717720</c:v>
                </c:pt>
                <c:pt idx="39">
                  <c:v>33183325</c:v>
                </c:pt>
                <c:pt idx="40">
                  <c:v>33486986</c:v>
                </c:pt>
                <c:pt idx="41">
                  <c:v>34439993</c:v>
                </c:pt>
                <c:pt idx="42">
                  <c:v>35445566.600000001</c:v>
                </c:pt>
                <c:pt idx="43">
                  <c:v>36317866.030000001</c:v>
                </c:pt>
                <c:pt idx="44">
                  <c:v>35757234.439999998</c:v>
                </c:pt>
                <c:pt idx="45">
                  <c:v>37399958.130000003</c:v>
                </c:pt>
                <c:pt idx="46">
                  <c:v>35923676.200000003</c:v>
                </c:pt>
                <c:pt idx="47">
                  <c:v>35272087.350000001</c:v>
                </c:pt>
                <c:pt idx="48">
                  <c:v>35767169.859999999</c:v>
                </c:pt>
                <c:pt idx="49">
                  <c:v>36662442.280000001</c:v>
                </c:pt>
                <c:pt idx="50">
                  <c:v>36679273.5</c:v>
                </c:pt>
                <c:pt idx="51">
                  <c:v>37076795.170000002</c:v>
                </c:pt>
                <c:pt idx="52">
                  <c:v>36640779.090000004</c:v>
                </c:pt>
                <c:pt idx="53">
                  <c:v>36105076.310000002</c:v>
                </c:pt>
                <c:pt idx="54">
                  <c:v>36564468.870000005</c:v>
                </c:pt>
                <c:pt idx="55">
                  <c:v>37199615.559999995</c:v>
                </c:pt>
                <c:pt idx="56">
                  <c:v>37459460.789999999</c:v>
                </c:pt>
                <c:pt idx="57">
                  <c:v>36724533.810000002</c:v>
                </c:pt>
                <c:pt idx="58">
                  <c:v>39358866.740000002</c:v>
                </c:pt>
                <c:pt idx="59">
                  <c:v>38920807.180000007</c:v>
                </c:pt>
                <c:pt idx="60">
                  <c:v>39242119.060000002</c:v>
                </c:pt>
                <c:pt idx="61">
                  <c:v>39117986.640000001</c:v>
                </c:pt>
                <c:pt idx="62">
                  <c:v>39488170.420000002</c:v>
                </c:pt>
                <c:pt idx="63">
                  <c:v>40309225.340000004</c:v>
                </c:pt>
                <c:pt idx="64">
                  <c:v>40116476.420000002</c:v>
                </c:pt>
                <c:pt idx="65">
                  <c:v>42032481.200000003</c:v>
                </c:pt>
                <c:pt idx="66">
                  <c:v>44437013.839999996</c:v>
                </c:pt>
                <c:pt idx="67">
                  <c:v>44838090.719999999</c:v>
                </c:pt>
                <c:pt idx="68">
                  <c:v>45904869.019999996</c:v>
                </c:pt>
                <c:pt idx="69">
                  <c:v>45959908.569999993</c:v>
                </c:pt>
                <c:pt idx="70">
                  <c:v>46192329.57</c:v>
                </c:pt>
                <c:pt idx="71">
                  <c:v>47613270.809999995</c:v>
                </c:pt>
                <c:pt idx="72">
                  <c:v>46818500.260000005</c:v>
                </c:pt>
                <c:pt idx="73">
                  <c:v>48392374.260000005</c:v>
                </c:pt>
                <c:pt idx="74">
                  <c:v>49762660.260000005</c:v>
                </c:pt>
                <c:pt idx="75">
                  <c:v>49561031.670000002</c:v>
                </c:pt>
                <c:pt idx="76">
                  <c:v>52912046.670000002</c:v>
                </c:pt>
                <c:pt idx="77">
                  <c:v>52216726.670000002</c:v>
                </c:pt>
                <c:pt idx="78">
                  <c:v>50488021.870000005</c:v>
                </c:pt>
                <c:pt idx="79">
                  <c:v>50790608.870000005</c:v>
                </c:pt>
                <c:pt idx="80">
                  <c:v>50820353.93</c:v>
                </c:pt>
                <c:pt idx="81">
                  <c:v>50738677.670000002</c:v>
                </c:pt>
                <c:pt idx="82">
                  <c:v>51919080.670000002</c:v>
                </c:pt>
                <c:pt idx="83">
                  <c:v>49211600.840000004</c:v>
                </c:pt>
                <c:pt idx="84">
                  <c:v>49006229</c:v>
                </c:pt>
                <c:pt idx="85">
                  <c:v>46831712</c:v>
                </c:pt>
                <c:pt idx="86">
                  <c:v>44753889</c:v>
                </c:pt>
                <c:pt idx="87">
                  <c:v>42206021</c:v>
                </c:pt>
                <c:pt idx="88">
                  <c:v>37930837</c:v>
                </c:pt>
                <c:pt idx="89">
                  <c:v>36067661</c:v>
                </c:pt>
                <c:pt idx="90">
                  <c:v>33936509</c:v>
                </c:pt>
                <c:pt idx="91">
                  <c:v>31988840</c:v>
                </c:pt>
                <c:pt idx="92">
                  <c:v>29881293</c:v>
                </c:pt>
                <c:pt idx="93">
                  <c:v>28387107</c:v>
                </c:pt>
                <c:pt idx="94">
                  <c:v>24485571</c:v>
                </c:pt>
                <c:pt idx="95">
                  <c:v>25269648</c:v>
                </c:pt>
                <c:pt idx="96">
                  <c:v>26099522</c:v>
                </c:pt>
                <c:pt idx="97">
                  <c:v>25317305</c:v>
                </c:pt>
                <c:pt idx="98">
                  <c:v>25778018</c:v>
                </c:pt>
                <c:pt idx="99">
                  <c:v>27381713</c:v>
                </c:pt>
                <c:pt idx="100">
                  <c:v>29399418</c:v>
                </c:pt>
                <c:pt idx="101">
                  <c:v>30633498</c:v>
                </c:pt>
                <c:pt idx="102">
                  <c:v>31008721</c:v>
                </c:pt>
                <c:pt idx="103">
                  <c:v>31828613</c:v>
                </c:pt>
                <c:pt idx="104">
                  <c:v>32125668</c:v>
                </c:pt>
                <c:pt idx="105">
                  <c:v>34326008</c:v>
                </c:pt>
                <c:pt idx="106">
                  <c:v>36879732</c:v>
                </c:pt>
                <c:pt idx="107">
                  <c:v>37443909</c:v>
                </c:pt>
                <c:pt idx="108">
                  <c:v>37589242</c:v>
                </c:pt>
                <c:pt idx="109">
                  <c:v>39199187</c:v>
                </c:pt>
                <c:pt idx="110">
                  <c:v>40428602</c:v>
                </c:pt>
                <c:pt idx="111">
                  <c:v>43162044</c:v>
                </c:pt>
                <c:pt idx="112">
                  <c:v>42797670</c:v>
                </c:pt>
                <c:pt idx="113">
                  <c:v>43643850</c:v>
                </c:pt>
                <c:pt idx="114">
                  <c:v>46281155</c:v>
                </c:pt>
                <c:pt idx="115">
                  <c:v>47072216</c:v>
                </c:pt>
                <c:pt idx="116">
                  <c:v>48583562</c:v>
                </c:pt>
                <c:pt idx="117">
                  <c:v>48791469</c:v>
                </c:pt>
                <c:pt idx="118">
                  <c:v>49229402</c:v>
                </c:pt>
                <c:pt idx="119">
                  <c:v>50792523</c:v>
                </c:pt>
                <c:pt idx="120">
                  <c:v>51401251</c:v>
                </c:pt>
                <c:pt idx="121">
                  <c:v>51975284</c:v>
                </c:pt>
                <c:pt idx="122">
                  <c:v>50837937</c:v>
                </c:pt>
                <c:pt idx="123">
                  <c:v>48399221</c:v>
                </c:pt>
                <c:pt idx="124">
                  <c:v>47962079</c:v>
                </c:pt>
                <c:pt idx="125">
                  <c:v>48329336</c:v>
                </c:pt>
                <c:pt idx="126">
                  <c:v>46877860</c:v>
                </c:pt>
                <c:pt idx="127">
                  <c:v>47041533</c:v>
                </c:pt>
                <c:pt idx="128">
                  <c:v>46150931</c:v>
                </c:pt>
                <c:pt idx="129">
                  <c:v>44951641</c:v>
                </c:pt>
                <c:pt idx="130">
                  <c:v>44280887</c:v>
                </c:pt>
                <c:pt idx="131">
                  <c:v>42816485</c:v>
                </c:pt>
                <c:pt idx="132">
                  <c:v>41553931</c:v>
                </c:pt>
                <c:pt idx="133">
                  <c:v>41790900</c:v>
                </c:pt>
                <c:pt idx="134">
                  <c:v>42021775</c:v>
                </c:pt>
                <c:pt idx="135">
                  <c:v>42514359</c:v>
                </c:pt>
                <c:pt idx="136">
                  <c:v>43273341</c:v>
                </c:pt>
                <c:pt idx="137">
                  <c:v>41644702</c:v>
                </c:pt>
                <c:pt idx="138">
                  <c:v>42390022</c:v>
                </c:pt>
                <c:pt idx="139">
                  <c:v>41950815</c:v>
                </c:pt>
                <c:pt idx="140">
                  <c:v>43623486</c:v>
                </c:pt>
                <c:pt idx="141">
                  <c:v>46104882</c:v>
                </c:pt>
                <c:pt idx="142">
                  <c:v>45241049</c:v>
                </c:pt>
                <c:pt idx="143">
                  <c:v>46998636</c:v>
                </c:pt>
                <c:pt idx="144">
                  <c:v>47019616</c:v>
                </c:pt>
                <c:pt idx="145">
                  <c:v>46986328</c:v>
                </c:pt>
                <c:pt idx="146">
                  <c:v>47710796</c:v>
                </c:pt>
                <c:pt idx="147">
                  <c:v>49473928</c:v>
                </c:pt>
                <c:pt idx="148">
                  <c:v>49804277</c:v>
                </c:pt>
                <c:pt idx="149">
                  <c:v>50075069</c:v>
                </c:pt>
                <c:pt idx="150">
                  <c:v>49019305</c:v>
                </c:pt>
                <c:pt idx="151">
                  <c:v>48270382</c:v>
                </c:pt>
                <c:pt idx="152">
                  <c:v>47746641</c:v>
                </c:pt>
                <c:pt idx="153">
                  <c:v>46445634</c:v>
                </c:pt>
                <c:pt idx="154">
                  <c:v>47126000</c:v>
                </c:pt>
                <c:pt idx="155">
                  <c:v>46588000</c:v>
                </c:pt>
                <c:pt idx="156">
                  <c:v>46885000</c:v>
                </c:pt>
                <c:pt idx="157">
                  <c:v>47188000</c:v>
                </c:pt>
                <c:pt idx="158">
                  <c:v>48664000</c:v>
                </c:pt>
                <c:pt idx="159">
                  <c:v>47456000</c:v>
                </c:pt>
                <c:pt idx="160">
                  <c:v>46682000</c:v>
                </c:pt>
                <c:pt idx="161">
                  <c:v>47742000</c:v>
                </c:pt>
                <c:pt idx="162">
                  <c:v>49352000</c:v>
                </c:pt>
                <c:pt idx="163">
                  <c:v>49599000</c:v>
                </c:pt>
                <c:pt idx="164">
                  <c:v>49022000</c:v>
                </c:pt>
                <c:pt idx="165">
                  <c:v>49706000</c:v>
                </c:pt>
                <c:pt idx="166">
                  <c:v>50891000</c:v>
                </c:pt>
                <c:pt idx="167">
                  <c:v>49315000</c:v>
                </c:pt>
                <c:pt idx="168">
                  <c:v>50350000</c:v>
                </c:pt>
                <c:pt idx="169">
                  <c:v>49885000</c:v>
                </c:pt>
                <c:pt idx="170">
                  <c:v>49095000</c:v>
                </c:pt>
                <c:pt idx="171">
                  <c:v>49596000</c:v>
                </c:pt>
                <c:pt idx="172">
                  <c:v>51506000</c:v>
                </c:pt>
                <c:pt idx="173">
                  <c:v>51333000</c:v>
                </c:pt>
                <c:pt idx="174">
                  <c:v>49687000</c:v>
                </c:pt>
                <c:pt idx="175">
                  <c:v>49913000</c:v>
                </c:pt>
                <c:pt idx="176">
                  <c:v>49362000</c:v>
                </c:pt>
                <c:pt idx="177">
                  <c:v>48911000</c:v>
                </c:pt>
                <c:pt idx="178">
                  <c:v>48971000</c:v>
                </c:pt>
                <c:pt idx="179">
                  <c:v>50690000</c:v>
                </c:pt>
                <c:pt idx="180">
                  <c:v>50482000</c:v>
                </c:pt>
                <c:pt idx="181">
                  <c:v>50705000</c:v>
                </c:pt>
                <c:pt idx="182">
                  <c:v>50350000</c:v>
                </c:pt>
                <c:pt idx="183">
                  <c:v>51749000</c:v>
                </c:pt>
                <c:pt idx="184">
                  <c:v>50470000</c:v>
                </c:pt>
                <c:pt idx="185">
                  <c:v>51466000</c:v>
                </c:pt>
                <c:pt idx="186">
                  <c:v>53210000</c:v>
                </c:pt>
                <c:pt idx="187">
                  <c:v>54336000</c:v>
                </c:pt>
                <c:pt idx="188">
                  <c:v>54931000</c:v>
                </c:pt>
                <c:pt idx="189">
                  <c:v>56081000</c:v>
                </c:pt>
                <c:pt idx="190">
                  <c:v>56245000</c:v>
                </c:pt>
                <c:pt idx="191">
                  <c:v>57912000</c:v>
                </c:pt>
                <c:pt idx="192">
                  <c:v>61924000</c:v>
                </c:pt>
                <c:pt idx="193">
                  <c:v>64686000</c:v>
                </c:pt>
                <c:pt idx="194">
                  <c:v>67257000</c:v>
                </c:pt>
                <c:pt idx="195">
                  <c:v>69417000</c:v>
                </c:pt>
                <c:pt idx="196">
                  <c:v>72399000</c:v>
                </c:pt>
                <c:pt idx="197">
                  <c:v>73693000</c:v>
                </c:pt>
                <c:pt idx="198">
                  <c:v>73176000</c:v>
                </c:pt>
                <c:pt idx="199">
                  <c:v>72863000</c:v>
                </c:pt>
                <c:pt idx="200">
                  <c:v>73573000</c:v>
                </c:pt>
                <c:pt idx="201">
                  <c:v>73331000</c:v>
                </c:pt>
                <c:pt idx="202">
                  <c:v>74575000</c:v>
                </c:pt>
                <c:pt idx="203">
                  <c:v>73347000</c:v>
                </c:pt>
                <c:pt idx="204">
                  <c:v>71223000</c:v>
                </c:pt>
                <c:pt idx="205">
                  <c:v>70382000</c:v>
                </c:pt>
                <c:pt idx="206">
                  <c:v>70521251</c:v>
                </c:pt>
                <c:pt idx="207">
                  <c:v>67526164</c:v>
                </c:pt>
                <c:pt idx="208">
                  <c:v>66086357</c:v>
                </c:pt>
                <c:pt idx="209">
                  <c:v>66425879</c:v>
                </c:pt>
                <c:pt idx="210">
                  <c:v>70051539</c:v>
                </c:pt>
                <c:pt idx="211">
                  <c:v>70293007</c:v>
                </c:pt>
                <c:pt idx="212">
                  <c:v>70860514</c:v>
                </c:pt>
                <c:pt idx="213">
                  <c:v>71089380</c:v>
                </c:pt>
                <c:pt idx="214">
                  <c:v>73325103</c:v>
                </c:pt>
                <c:pt idx="215">
                  <c:v>74062944</c:v>
                </c:pt>
                <c:pt idx="216">
                  <c:v>72931416</c:v>
                </c:pt>
                <c:pt idx="217">
                  <c:v>72238452</c:v>
                </c:pt>
                <c:pt idx="218">
                  <c:v>70713410</c:v>
                </c:pt>
                <c:pt idx="219">
                  <c:v>71855038</c:v>
                </c:pt>
                <c:pt idx="220">
                  <c:v>69896808</c:v>
                </c:pt>
                <c:pt idx="221">
                  <c:v>66553025</c:v>
                </c:pt>
                <c:pt idx="222">
                  <c:v>64597365</c:v>
                </c:pt>
                <c:pt idx="223">
                  <c:v>63134897</c:v>
                </c:pt>
                <c:pt idx="224">
                  <c:v>63121390</c:v>
                </c:pt>
                <c:pt idx="225">
                  <c:v>65238524</c:v>
                </c:pt>
                <c:pt idx="226">
                  <c:v>63941801</c:v>
                </c:pt>
                <c:pt idx="227">
                  <c:v>63445960</c:v>
                </c:pt>
                <c:pt idx="228">
                  <c:v>64693599</c:v>
                </c:pt>
                <c:pt idx="229">
                  <c:v>62769749</c:v>
                </c:pt>
                <c:pt idx="230">
                  <c:v>63136651</c:v>
                </c:pt>
                <c:pt idx="231">
                  <c:v>66760181</c:v>
                </c:pt>
                <c:pt idx="232">
                  <c:v>69218062</c:v>
                </c:pt>
                <c:pt idx="233">
                  <c:v>74947395</c:v>
                </c:pt>
                <c:pt idx="234">
                  <c:v>74944494</c:v>
                </c:pt>
                <c:pt idx="235">
                  <c:v>77873984</c:v>
                </c:pt>
                <c:pt idx="236">
                  <c:v>78271843</c:v>
                </c:pt>
                <c:pt idx="237">
                  <c:v>77910201</c:v>
                </c:pt>
                <c:pt idx="238">
                  <c:v>76839028</c:v>
                </c:pt>
                <c:pt idx="239">
                  <c:v>78957735</c:v>
                </c:pt>
                <c:pt idx="240">
                  <c:v>79337052</c:v>
                </c:pt>
                <c:pt idx="241">
                  <c:v>83653261</c:v>
                </c:pt>
                <c:pt idx="242">
                  <c:v>84434811</c:v>
                </c:pt>
                <c:pt idx="243">
                  <c:v>80577040</c:v>
                </c:pt>
                <c:pt idx="244">
                  <c:v>81662243</c:v>
                </c:pt>
                <c:pt idx="245">
                  <c:v>79656284</c:v>
                </c:pt>
                <c:pt idx="246">
                  <c:v>82786440</c:v>
                </c:pt>
                <c:pt idx="247">
                  <c:v>84997978</c:v>
                </c:pt>
                <c:pt idx="248">
                  <c:v>84416840</c:v>
                </c:pt>
                <c:pt idx="249">
                  <c:v>83477667</c:v>
                </c:pt>
                <c:pt idx="250">
                  <c:v>85615708</c:v>
                </c:pt>
                <c:pt idx="251">
                  <c:v>89929607</c:v>
                </c:pt>
                <c:pt idx="252">
                  <c:v>90845785</c:v>
                </c:pt>
                <c:pt idx="253">
                  <c:v>90597763</c:v>
                </c:pt>
                <c:pt idx="254">
                  <c:v>91431058</c:v>
                </c:pt>
                <c:pt idx="255">
                  <c:v>92964713</c:v>
                </c:pt>
                <c:pt idx="256">
                  <c:v>98959219</c:v>
                </c:pt>
                <c:pt idx="257">
                  <c:v>99642926</c:v>
                </c:pt>
                <c:pt idx="258">
                  <c:v>100899098</c:v>
                </c:pt>
                <c:pt idx="259">
                  <c:v>98768652</c:v>
                </c:pt>
                <c:pt idx="260">
                  <c:v>100424656</c:v>
                </c:pt>
                <c:pt idx="261">
                  <c:v>100886116</c:v>
                </c:pt>
                <c:pt idx="262">
                  <c:v>100966922</c:v>
                </c:pt>
                <c:pt idx="263">
                  <c:v>99343452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1-445F-A2E2-73F657637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365544"/>
        <c:axId val="452362592"/>
      </c:lineChart>
      <c:lineChart>
        <c:grouping val="standard"/>
        <c:varyColors val="0"/>
        <c:ser>
          <c:idx val="2"/>
          <c:order val="2"/>
          <c:tx>
            <c:strRef>
              <c:f>Data!$D$6</c:f>
              <c:strCache>
                <c:ptCount val="1"/>
                <c:pt idx="0">
                  <c:v>O/S-Ratio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Data!$A$18:$A$281</c:f>
              <c:numCache>
                <c:formatCode>mmm\-yy</c:formatCode>
                <c:ptCount val="264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  <c:pt idx="12">
                  <c:v>37591</c:v>
                </c:pt>
                <c:pt idx="13">
                  <c:v>37622</c:v>
                </c:pt>
                <c:pt idx="14">
                  <c:v>37653</c:v>
                </c:pt>
                <c:pt idx="15">
                  <c:v>37681</c:v>
                </c:pt>
                <c:pt idx="16">
                  <c:v>37712</c:v>
                </c:pt>
                <c:pt idx="17">
                  <c:v>37742</c:v>
                </c:pt>
                <c:pt idx="18">
                  <c:v>37773</c:v>
                </c:pt>
                <c:pt idx="19">
                  <c:v>37803</c:v>
                </c:pt>
                <c:pt idx="20">
                  <c:v>37834</c:v>
                </c:pt>
                <c:pt idx="21">
                  <c:v>37865</c:v>
                </c:pt>
                <c:pt idx="22">
                  <c:v>37895</c:v>
                </c:pt>
                <c:pt idx="23">
                  <c:v>37926</c:v>
                </c:pt>
                <c:pt idx="24">
                  <c:v>37956</c:v>
                </c:pt>
                <c:pt idx="25">
                  <c:v>37987</c:v>
                </c:pt>
                <c:pt idx="26">
                  <c:v>38018</c:v>
                </c:pt>
                <c:pt idx="27">
                  <c:v>38047</c:v>
                </c:pt>
                <c:pt idx="28">
                  <c:v>38078</c:v>
                </c:pt>
                <c:pt idx="29">
                  <c:v>38108</c:v>
                </c:pt>
                <c:pt idx="30">
                  <c:v>38139</c:v>
                </c:pt>
                <c:pt idx="31">
                  <c:v>38169</c:v>
                </c:pt>
                <c:pt idx="32">
                  <c:v>38200</c:v>
                </c:pt>
                <c:pt idx="33">
                  <c:v>38231</c:v>
                </c:pt>
                <c:pt idx="34">
                  <c:v>38261</c:v>
                </c:pt>
                <c:pt idx="35">
                  <c:v>38292</c:v>
                </c:pt>
                <c:pt idx="36">
                  <c:v>38322</c:v>
                </c:pt>
                <c:pt idx="37">
                  <c:v>38353</c:v>
                </c:pt>
                <c:pt idx="38">
                  <c:v>38384</c:v>
                </c:pt>
                <c:pt idx="39">
                  <c:v>38412</c:v>
                </c:pt>
                <c:pt idx="40">
                  <c:v>38443</c:v>
                </c:pt>
                <c:pt idx="41">
                  <c:v>38473</c:v>
                </c:pt>
                <c:pt idx="42">
                  <c:v>38504</c:v>
                </c:pt>
                <c:pt idx="43">
                  <c:v>38534</c:v>
                </c:pt>
                <c:pt idx="44">
                  <c:v>38565</c:v>
                </c:pt>
                <c:pt idx="45">
                  <c:v>38596</c:v>
                </c:pt>
                <c:pt idx="46">
                  <c:v>38626</c:v>
                </c:pt>
                <c:pt idx="47">
                  <c:v>38657</c:v>
                </c:pt>
                <c:pt idx="48">
                  <c:v>38687</c:v>
                </c:pt>
                <c:pt idx="49">
                  <c:v>38718</c:v>
                </c:pt>
                <c:pt idx="50">
                  <c:v>38749</c:v>
                </c:pt>
                <c:pt idx="51">
                  <c:v>38777</c:v>
                </c:pt>
                <c:pt idx="52">
                  <c:v>38808</c:v>
                </c:pt>
                <c:pt idx="53">
                  <c:v>38838</c:v>
                </c:pt>
                <c:pt idx="54">
                  <c:v>38869</c:v>
                </c:pt>
                <c:pt idx="55">
                  <c:v>38899</c:v>
                </c:pt>
                <c:pt idx="56">
                  <c:v>38930</c:v>
                </c:pt>
                <c:pt idx="57">
                  <c:v>38961</c:v>
                </c:pt>
                <c:pt idx="58">
                  <c:v>38991</c:v>
                </c:pt>
                <c:pt idx="59">
                  <c:v>39022</c:v>
                </c:pt>
                <c:pt idx="60">
                  <c:v>39052</c:v>
                </c:pt>
                <c:pt idx="61">
                  <c:v>39083</c:v>
                </c:pt>
                <c:pt idx="62">
                  <c:v>39114</c:v>
                </c:pt>
                <c:pt idx="63">
                  <c:v>39142</c:v>
                </c:pt>
                <c:pt idx="64">
                  <c:v>39173</c:v>
                </c:pt>
                <c:pt idx="65">
                  <c:v>39203</c:v>
                </c:pt>
                <c:pt idx="66">
                  <c:v>39234</c:v>
                </c:pt>
                <c:pt idx="67">
                  <c:v>39264</c:v>
                </c:pt>
                <c:pt idx="68">
                  <c:v>39295</c:v>
                </c:pt>
                <c:pt idx="69">
                  <c:v>39326</c:v>
                </c:pt>
                <c:pt idx="70">
                  <c:v>39356</c:v>
                </c:pt>
                <c:pt idx="71">
                  <c:v>39387</c:v>
                </c:pt>
                <c:pt idx="72">
                  <c:v>39417</c:v>
                </c:pt>
                <c:pt idx="73">
                  <c:v>39448</c:v>
                </c:pt>
                <c:pt idx="74">
                  <c:v>39479</c:v>
                </c:pt>
                <c:pt idx="75">
                  <c:v>39508</c:v>
                </c:pt>
                <c:pt idx="76">
                  <c:v>39539</c:v>
                </c:pt>
                <c:pt idx="77">
                  <c:v>39569</c:v>
                </c:pt>
                <c:pt idx="78">
                  <c:v>39600</c:v>
                </c:pt>
                <c:pt idx="79">
                  <c:v>39630</c:v>
                </c:pt>
                <c:pt idx="80">
                  <c:v>39661</c:v>
                </c:pt>
                <c:pt idx="81">
                  <c:v>39692</c:v>
                </c:pt>
                <c:pt idx="82">
                  <c:v>39722</c:v>
                </c:pt>
                <c:pt idx="83">
                  <c:v>39753</c:v>
                </c:pt>
                <c:pt idx="84">
                  <c:v>39783</c:v>
                </c:pt>
                <c:pt idx="85">
                  <c:v>39814</c:v>
                </c:pt>
                <c:pt idx="86">
                  <c:v>39845</c:v>
                </c:pt>
                <c:pt idx="87">
                  <c:v>39873</c:v>
                </c:pt>
                <c:pt idx="88">
                  <c:v>39904</c:v>
                </c:pt>
                <c:pt idx="89">
                  <c:v>39934</c:v>
                </c:pt>
                <c:pt idx="90">
                  <c:v>39965</c:v>
                </c:pt>
                <c:pt idx="91">
                  <c:v>39995</c:v>
                </c:pt>
                <c:pt idx="92">
                  <c:v>40026</c:v>
                </c:pt>
                <c:pt idx="93">
                  <c:v>40057</c:v>
                </c:pt>
                <c:pt idx="94">
                  <c:v>40087</c:v>
                </c:pt>
                <c:pt idx="95">
                  <c:v>40118</c:v>
                </c:pt>
                <c:pt idx="96">
                  <c:v>40148</c:v>
                </c:pt>
                <c:pt idx="97">
                  <c:v>40179</c:v>
                </c:pt>
                <c:pt idx="98">
                  <c:v>40210</c:v>
                </c:pt>
                <c:pt idx="99">
                  <c:v>40238</c:v>
                </c:pt>
                <c:pt idx="100">
                  <c:v>40269</c:v>
                </c:pt>
                <c:pt idx="101">
                  <c:v>40299</c:v>
                </c:pt>
                <c:pt idx="102">
                  <c:v>40330</c:v>
                </c:pt>
                <c:pt idx="103">
                  <c:v>40360</c:v>
                </c:pt>
                <c:pt idx="104">
                  <c:v>40391</c:v>
                </c:pt>
                <c:pt idx="105">
                  <c:v>40422</c:v>
                </c:pt>
                <c:pt idx="106">
                  <c:v>40452</c:v>
                </c:pt>
                <c:pt idx="107">
                  <c:v>40483</c:v>
                </c:pt>
                <c:pt idx="108">
                  <c:v>40513</c:v>
                </c:pt>
                <c:pt idx="109">
                  <c:v>40544</c:v>
                </c:pt>
                <c:pt idx="110">
                  <c:v>40575</c:v>
                </c:pt>
                <c:pt idx="111">
                  <c:v>40603</c:v>
                </c:pt>
                <c:pt idx="112">
                  <c:v>40634</c:v>
                </c:pt>
                <c:pt idx="113">
                  <c:v>40664</c:v>
                </c:pt>
                <c:pt idx="114">
                  <c:v>40695</c:v>
                </c:pt>
                <c:pt idx="115">
                  <c:v>40725</c:v>
                </c:pt>
                <c:pt idx="116">
                  <c:v>40756</c:v>
                </c:pt>
                <c:pt idx="117">
                  <c:v>40787</c:v>
                </c:pt>
                <c:pt idx="118">
                  <c:v>40817</c:v>
                </c:pt>
                <c:pt idx="119">
                  <c:v>40848</c:v>
                </c:pt>
                <c:pt idx="120">
                  <c:v>40878</c:v>
                </c:pt>
                <c:pt idx="121">
                  <c:v>40909</c:v>
                </c:pt>
                <c:pt idx="122">
                  <c:v>40940</c:v>
                </c:pt>
                <c:pt idx="123">
                  <c:v>40969</c:v>
                </c:pt>
                <c:pt idx="124">
                  <c:v>41000</c:v>
                </c:pt>
                <c:pt idx="125">
                  <c:v>41030</c:v>
                </c:pt>
                <c:pt idx="126">
                  <c:v>41061</c:v>
                </c:pt>
                <c:pt idx="127">
                  <c:v>41091</c:v>
                </c:pt>
                <c:pt idx="128">
                  <c:v>41122</c:v>
                </c:pt>
                <c:pt idx="129">
                  <c:v>41153</c:v>
                </c:pt>
                <c:pt idx="130">
                  <c:v>41183</c:v>
                </c:pt>
                <c:pt idx="131">
                  <c:v>41214</c:v>
                </c:pt>
                <c:pt idx="132">
                  <c:v>41244</c:v>
                </c:pt>
                <c:pt idx="133">
                  <c:v>41275</c:v>
                </c:pt>
                <c:pt idx="134">
                  <c:v>41306</c:v>
                </c:pt>
                <c:pt idx="135">
                  <c:v>41334</c:v>
                </c:pt>
                <c:pt idx="136">
                  <c:v>41365</c:v>
                </c:pt>
                <c:pt idx="137">
                  <c:v>41395</c:v>
                </c:pt>
                <c:pt idx="138">
                  <c:v>41426</c:v>
                </c:pt>
                <c:pt idx="139">
                  <c:v>41456</c:v>
                </c:pt>
                <c:pt idx="140">
                  <c:v>41487</c:v>
                </c:pt>
                <c:pt idx="141">
                  <c:v>41518</c:v>
                </c:pt>
                <c:pt idx="142">
                  <c:v>41548</c:v>
                </c:pt>
                <c:pt idx="143">
                  <c:v>41579</c:v>
                </c:pt>
                <c:pt idx="144">
                  <c:v>41609</c:v>
                </c:pt>
                <c:pt idx="145">
                  <c:v>41640</c:v>
                </c:pt>
                <c:pt idx="146">
                  <c:v>41671</c:v>
                </c:pt>
                <c:pt idx="147">
                  <c:v>41699</c:v>
                </c:pt>
                <c:pt idx="148">
                  <c:v>41730</c:v>
                </c:pt>
                <c:pt idx="149">
                  <c:v>41760</c:v>
                </c:pt>
                <c:pt idx="150">
                  <c:v>41791</c:v>
                </c:pt>
                <c:pt idx="151">
                  <c:v>41821</c:v>
                </c:pt>
                <c:pt idx="152">
                  <c:v>41852</c:v>
                </c:pt>
                <c:pt idx="153">
                  <c:v>41883</c:v>
                </c:pt>
                <c:pt idx="154">
                  <c:v>41913</c:v>
                </c:pt>
                <c:pt idx="155">
                  <c:v>41944</c:v>
                </c:pt>
                <c:pt idx="156">
                  <c:v>41974</c:v>
                </c:pt>
                <c:pt idx="157">
                  <c:v>42005</c:v>
                </c:pt>
                <c:pt idx="158">
                  <c:v>42036</c:v>
                </c:pt>
                <c:pt idx="159">
                  <c:v>42064</c:v>
                </c:pt>
                <c:pt idx="160">
                  <c:v>42095</c:v>
                </c:pt>
                <c:pt idx="161">
                  <c:v>42125</c:v>
                </c:pt>
                <c:pt idx="162">
                  <c:v>42156</c:v>
                </c:pt>
                <c:pt idx="163">
                  <c:v>42186</c:v>
                </c:pt>
                <c:pt idx="164">
                  <c:v>42217</c:v>
                </c:pt>
                <c:pt idx="165">
                  <c:v>42248</c:v>
                </c:pt>
                <c:pt idx="166">
                  <c:v>42278</c:v>
                </c:pt>
                <c:pt idx="167">
                  <c:v>42309</c:v>
                </c:pt>
                <c:pt idx="168">
                  <c:v>42339</c:v>
                </c:pt>
                <c:pt idx="169">
                  <c:v>42370</c:v>
                </c:pt>
                <c:pt idx="170">
                  <c:v>42401</c:v>
                </c:pt>
                <c:pt idx="171">
                  <c:v>42430</c:v>
                </c:pt>
                <c:pt idx="172">
                  <c:v>42461</c:v>
                </c:pt>
                <c:pt idx="173">
                  <c:v>42491</c:v>
                </c:pt>
                <c:pt idx="174">
                  <c:v>42522</c:v>
                </c:pt>
                <c:pt idx="175">
                  <c:v>42552</c:v>
                </c:pt>
                <c:pt idx="176">
                  <c:v>42583</c:v>
                </c:pt>
                <c:pt idx="177">
                  <c:v>42614</c:v>
                </c:pt>
                <c:pt idx="178">
                  <c:v>42644</c:v>
                </c:pt>
                <c:pt idx="179">
                  <c:v>42675</c:v>
                </c:pt>
                <c:pt idx="180">
                  <c:v>42705</c:v>
                </c:pt>
                <c:pt idx="181">
                  <c:v>42736</c:v>
                </c:pt>
                <c:pt idx="182">
                  <c:v>42767</c:v>
                </c:pt>
                <c:pt idx="183">
                  <c:v>42795</c:v>
                </c:pt>
                <c:pt idx="184">
                  <c:v>42826</c:v>
                </c:pt>
                <c:pt idx="185">
                  <c:v>42856</c:v>
                </c:pt>
                <c:pt idx="186">
                  <c:v>42887</c:v>
                </c:pt>
                <c:pt idx="187">
                  <c:v>42917</c:v>
                </c:pt>
                <c:pt idx="188">
                  <c:v>42948</c:v>
                </c:pt>
                <c:pt idx="189">
                  <c:v>42979</c:v>
                </c:pt>
                <c:pt idx="190">
                  <c:v>43009</c:v>
                </c:pt>
                <c:pt idx="191">
                  <c:v>43040</c:v>
                </c:pt>
                <c:pt idx="192">
                  <c:v>43070</c:v>
                </c:pt>
                <c:pt idx="193">
                  <c:v>43101</c:v>
                </c:pt>
                <c:pt idx="194">
                  <c:v>43132</c:v>
                </c:pt>
                <c:pt idx="195">
                  <c:v>43160</c:v>
                </c:pt>
                <c:pt idx="196">
                  <c:v>43191</c:v>
                </c:pt>
                <c:pt idx="197">
                  <c:v>43221</c:v>
                </c:pt>
                <c:pt idx="198">
                  <c:v>43252</c:v>
                </c:pt>
                <c:pt idx="199">
                  <c:v>43282</c:v>
                </c:pt>
                <c:pt idx="200">
                  <c:v>43313</c:v>
                </c:pt>
                <c:pt idx="201">
                  <c:v>43344</c:v>
                </c:pt>
                <c:pt idx="202">
                  <c:v>43374</c:v>
                </c:pt>
                <c:pt idx="203">
                  <c:v>43405</c:v>
                </c:pt>
                <c:pt idx="204">
                  <c:v>43435</c:v>
                </c:pt>
                <c:pt idx="205">
                  <c:v>43466</c:v>
                </c:pt>
                <c:pt idx="206">
                  <c:v>43497</c:v>
                </c:pt>
                <c:pt idx="207">
                  <c:v>43525</c:v>
                </c:pt>
                <c:pt idx="208">
                  <c:v>43556</c:v>
                </c:pt>
                <c:pt idx="209">
                  <c:v>43586</c:v>
                </c:pt>
                <c:pt idx="210">
                  <c:v>43617</c:v>
                </c:pt>
                <c:pt idx="211">
                  <c:v>43647</c:v>
                </c:pt>
                <c:pt idx="212">
                  <c:v>43678</c:v>
                </c:pt>
                <c:pt idx="213">
                  <c:v>43709</c:v>
                </c:pt>
                <c:pt idx="214">
                  <c:v>43739</c:v>
                </c:pt>
                <c:pt idx="215">
                  <c:v>43770</c:v>
                </c:pt>
                <c:pt idx="216">
                  <c:v>43800</c:v>
                </c:pt>
                <c:pt idx="217">
                  <c:v>43831</c:v>
                </c:pt>
                <c:pt idx="218">
                  <c:v>43862</c:v>
                </c:pt>
                <c:pt idx="219">
                  <c:v>43891</c:v>
                </c:pt>
                <c:pt idx="220">
                  <c:v>43922</c:v>
                </c:pt>
                <c:pt idx="221">
                  <c:v>43952</c:v>
                </c:pt>
                <c:pt idx="222">
                  <c:v>43983</c:v>
                </c:pt>
                <c:pt idx="223">
                  <c:v>44013</c:v>
                </c:pt>
                <c:pt idx="224">
                  <c:v>44044</c:v>
                </c:pt>
                <c:pt idx="225">
                  <c:v>44075</c:v>
                </c:pt>
                <c:pt idx="226">
                  <c:v>44105</c:v>
                </c:pt>
                <c:pt idx="227">
                  <c:v>44136</c:v>
                </c:pt>
                <c:pt idx="228">
                  <c:v>44166</c:v>
                </c:pt>
                <c:pt idx="229">
                  <c:v>44197</c:v>
                </c:pt>
                <c:pt idx="230">
                  <c:v>44228</c:v>
                </c:pt>
                <c:pt idx="231">
                  <c:v>44256</c:v>
                </c:pt>
                <c:pt idx="232">
                  <c:v>44287</c:v>
                </c:pt>
                <c:pt idx="233">
                  <c:v>44317</c:v>
                </c:pt>
                <c:pt idx="234">
                  <c:v>44348</c:v>
                </c:pt>
                <c:pt idx="235">
                  <c:v>44378</c:v>
                </c:pt>
                <c:pt idx="236">
                  <c:v>44409</c:v>
                </c:pt>
                <c:pt idx="237">
                  <c:v>44440</c:v>
                </c:pt>
                <c:pt idx="238">
                  <c:v>44470</c:v>
                </c:pt>
                <c:pt idx="239">
                  <c:v>44501</c:v>
                </c:pt>
                <c:pt idx="240">
                  <c:v>44531</c:v>
                </c:pt>
                <c:pt idx="241">
                  <c:v>44562</c:v>
                </c:pt>
                <c:pt idx="242">
                  <c:v>44593</c:v>
                </c:pt>
                <c:pt idx="243">
                  <c:v>44621</c:v>
                </c:pt>
                <c:pt idx="244">
                  <c:v>44652</c:v>
                </c:pt>
                <c:pt idx="245">
                  <c:v>44682</c:v>
                </c:pt>
                <c:pt idx="246">
                  <c:v>44713</c:v>
                </c:pt>
                <c:pt idx="247">
                  <c:v>44743</c:v>
                </c:pt>
                <c:pt idx="248">
                  <c:v>44774</c:v>
                </c:pt>
                <c:pt idx="249">
                  <c:v>44805</c:v>
                </c:pt>
                <c:pt idx="250">
                  <c:v>44835</c:v>
                </c:pt>
                <c:pt idx="251">
                  <c:v>44866</c:v>
                </c:pt>
                <c:pt idx="252">
                  <c:v>44896</c:v>
                </c:pt>
                <c:pt idx="253">
                  <c:v>44927</c:v>
                </c:pt>
                <c:pt idx="254">
                  <c:v>44958</c:v>
                </c:pt>
                <c:pt idx="255">
                  <c:v>44986</c:v>
                </c:pt>
                <c:pt idx="256">
                  <c:v>45017</c:v>
                </c:pt>
                <c:pt idx="257">
                  <c:v>45047</c:v>
                </c:pt>
                <c:pt idx="258">
                  <c:v>45078</c:v>
                </c:pt>
                <c:pt idx="259">
                  <c:v>45108</c:v>
                </c:pt>
                <c:pt idx="260">
                  <c:v>45139</c:v>
                </c:pt>
                <c:pt idx="261">
                  <c:v>45170</c:v>
                </c:pt>
                <c:pt idx="262">
                  <c:v>45200</c:v>
                </c:pt>
                <c:pt idx="263">
                  <c:v>45231</c:v>
                </c:pt>
              </c:numCache>
            </c:numRef>
          </c:cat>
          <c:val>
            <c:numRef>
              <c:f>Data!$D$18:$D$281</c:f>
              <c:numCache>
                <c:formatCode>0.00</c:formatCode>
                <c:ptCount val="264"/>
                <c:pt idx="0">
                  <c:v>1.0335246458224554</c:v>
                </c:pt>
                <c:pt idx="1">
                  <c:v>1.0388079987197361</c:v>
                </c:pt>
                <c:pt idx="2">
                  <c:v>1.0402508891136517</c:v>
                </c:pt>
                <c:pt idx="3">
                  <c:v>1.0686394733248161</c:v>
                </c:pt>
                <c:pt idx="4">
                  <c:v>1.0617754569267486</c:v>
                </c:pt>
                <c:pt idx="5">
                  <c:v>1.1023716150572245</c:v>
                </c:pt>
                <c:pt idx="6">
                  <c:v>1.0327889174000111</c:v>
                </c:pt>
                <c:pt idx="7">
                  <c:v>0.99420638711046172</c:v>
                </c:pt>
                <c:pt idx="8">
                  <c:v>0.99757442279863118</c:v>
                </c:pt>
                <c:pt idx="9">
                  <c:v>1.0126604935176389</c:v>
                </c:pt>
                <c:pt idx="10">
                  <c:v>0.96933642212938009</c:v>
                </c:pt>
                <c:pt idx="11">
                  <c:v>1.0213551869204824</c:v>
                </c:pt>
                <c:pt idx="12">
                  <c:v>1.0368149939093489</c:v>
                </c:pt>
                <c:pt idx="13">
                  <c:v>1.032165609885096</c:v>
                </c:pt>
                <c:pt idx="14">
                  <c:v>0.98770743320966747</c:v>
                </c:pt>
                <c:pt idx="15">
                  <c:v>0.98636139780050547</c:v>
                </c:pt>
                <c:pt idx="16">
                  <c:v>1.0023337548716271</c:v>
                </c:pt>
                <c:pt idx="17">
                  <c:v>0.97133658473235807</c:v>
                </c:pt>
                <c:pt idx="18">
                  <c:v>1.0592425774785077</c:v>
                </c:pt>
                <c:pt idx="19">
                  <c:v>1.0266134003100171</c:v>
                </c:pt>
                <c:pt idx="20">
                  <c:v>1.0064243731986813</c:v>
                </c:pt>
                <c:pt idx="21">
                  <c:v>0.97364624664097121</c:v>
                </c:pt>
                <c:pt idx="22">
                  <c:v>0.99094973497619443</c:v>
                </c:pt>
                <c:pt idx="23">
                  <c:v>0.98215661761191997</c:v>
                </c:pt>
                <c:pt idx="24">
                  <c:v>0.94733896123844197</c:v>
                </c:pt>
                <c:pt idx="25">
                  <c:v>0.99563258876281224</c:v>
                </c:pt>
                <c:pt idx="26">
                  <c:v>1.0195508920473841</c:v>
                </c:pt>
                <c:pt idx="27">
                  <c:v>1.0155533972619255</c:v>
                </c:pt>
                <c:pt idx="28">
                  <c:v>1.0298636380014266</c:v>
                </c:pt>
                <c:pt idx="29">
                  <c:v>1.008494090735244</c:v>
                </c:pt>
                <c:pt idx="30">
                  <c:v>0.93778560598343408</c:v>
                </c:pt>
                <c:pt idx="31">
                  <c:v>0.98325054193869599</c:v>
                </c:pt>
                <c:pt idx="32">
                  <c:v>1.0345635416635675</c:v>
                </c:pt>
                <c:pt idx="33">
                  <c:v>1.0247000911587405</c:v>
                </c:pt>
                <c:pt idx="34">
                  <c:v>1.0380449796160323</c:v>
                </c:pt>
                <c:pt idx="35">
                  <c:v>1.058962240942992</c:v>
                </c:pt>
                <c:pt idx="36">
                  <c:v>1.0514125012093745</c:v>
                </c:pt>
                <c:pt idx="37">
                  <c:v>1.006637480860993</c:v>
                </c:pt>
                <c:pt idx="38">
                  <c:v>1.0156925500465228</c:v>
                </c:pt>
                <c:pt idx="39">
                  <c:v>0.99446103544847408</c:v>
                </c:pt>
                <c:pt idx="40">
                  <c:v>0.9669245652995585</c:v>
                </c:pt>
                <c:pt idx="41">
                  <c:v>0.99636655939715757</c:v>
                </c:pt>
                <c:pt idx="42">
                  <c:v>1.0219308561760356</c:v>
                </c:pt>
                <c:pt idx="43">
                  <c:v>1.0220569316532635</c:v>
                </c:pt>
                <c:pt idx="44">
                  <c:v>0.98567899406644954</c:v>
                </c:pt>
                <c:pt idx="45">
                  <c:v>1.0350876556770396</c:v>
                </c:pt>
                <c:pt idx="46">
                  <c:v>1.002036856870633</c:v>
                </c:pt>
                <c:pt idx="47">
                  <c:v>0.9997664718310727</c:v>
                </c:pt>
                <c:pt idx="48">
                  <c:v>1.0008280306504991</c:v>
                </c:pt>
                <c:pt idx="49">
                  <c:v>1.0066654935667105</c:v>
                </c:pt>
                <c:pt idx="50">
                  <c:v>0.98066883034123109</c:v>
                </c:pt>
                <c:pt idx="51">
                  <c:v>0.99792855243351108</c:v>
                </c:pt>
                <c:pt idx="52">
                  <c:v>1.0027040821599613</c:v>
                </c:pt>
                <c:pt idx="53">
                  <c:v>0.96219183109155382</c:v>
                </c:pt>
                <c:pt idx="54">
                  <c:v>1.0010301243761957</c:v>
                </c:pt>
                <c:pt idx="55">
                  <c:v>1.0122943954104335</c:v>
                </c:pt>
                <c:pt idx="56">
                  <c:v>1.0276317286292374</c:v>
                </c:pt>
                <c:pt idx="57">
                  <c:v>1.0083302047769855</c:v>
                </c:pt>
                <c:pt idx="58">
                  <c:v>1.0486658331408967</c:v>
                </c:pt>
                <c:pt idx="59">
                  <c:v>1.0017356460309943</c:v>
                </c:pt>
                <c:pt idx="60">
                  <c:v>0.96365326045659538</c:v>
                </c:pt>
                <c:pt idx="61">
                  <c:v>0.95158707236347029</c:v>
                </c:pt>
                <c:pt idx="62">
                  <c:v>0.98219748500191384</c:v>
                </c:pt>
                <c:pt idx="63">
                  <c:v>0.98306958053257643</c:v>
                </c:pt>
                <c:pt idx="64">
                  <c:v>0.98855256077803322</c:v>
                </c:pt>
                <c:pt idx="65">
                  <c:v>1.015300007043201</c:v>
                </c:pt>
                <c:pt idx="66">
                  <c:v>1.051720923640042</c:v>
                </c:pt>
                <c:pt idx="67">
                  <c:v>1.0684648513255222</c:v>
                </c:pt>
                <c:pt idx="68">
                  <c:v>1.0685577308988445</c:v>
                </c:pt>
                <c:pt idx="69">
                  <c:v>1.039747759343193</c:v>
                </c:pt>
                <c:pt idx="70">
                  <c:v>1.0127456758076465</c:v>
                </c:pt>
                <c:pt idx="71">
                  <c:v>1.0341280508229678</c:v>
                </c:pt>
                <c:pt idx="72">
                  <c:v>1.0418150385901297</c:v>
                </c:pt>
                <c:pt idx="73">
                  <c:v>1.0574134446608778</c:v>
                </c:pt>
                <c:pt idx="74">
                  <c:v>1.0124222006474703</c:v>
                </c:pt>
                <c:pt idx="75">
                  <c:v>1.0238279329594371</c:v>
                </c:pt>
                <c:pt idx="76">
                  <c:v>1.0391985118863269</c:v>
                </c:pt>
                <c:pt idx="77">
                  <c:v>1.0100064714254358</c:v>
                </c:pt>
                <c:pt idx="78">
                  <c:v>0.96932610177003642</c:v>
                </c:pt>
                <c:pt idx="79">
                  <c:v>0.95791392263106168</c:v>
                </c:pt>
                <c:pt idx="80">
                  <c:v>0.93513384175965786</c:v>
                </c:pt>
                <c:pt idx="81">
                  <c:v>0.93648759529628389</c:v>
                </c:pt>
                <c:pt idx="82">
                  <c:v>0.95861058756779161</c:v>
                </c:pt>
                <c:pt idx="83">
                  <c:v>0.92533474961667528</c:v>
                </c:pt>
                <c:pt idx="84">
                  <c:v>0.95747602091190065</c:v>
                </c:pt>
                <c:pt idx="85">
                  <c:v>0.93367315162002618</c:v>
                </c:pt>
                <c:pt idx="86">
                  <c:v>0.97178848936544293</c:v>
                </c:pt>
                <c:pt idx="87">
                  <c:v>0.93045626593179043</c:v>
                </c:pt>
                <c:pt idx="88">
                  <c:v>0.89712960339373826</c:v>
                </c:pt>
                <c:pt idx="89">
                  <c:v>0.91529814122537467</c:v>
                </c:pt>
                <c:pt idx="90">
                  <c:v>0.87948686484454563</c:v>
                </c:pt>
                <c:pt idx="91">
                  <c:v>0.85910001726319218</c:v>
                </c:pt>
                <c:pt idx="92">
                  <c:v>0.88603579062018101</c:v>
                </c:pt>
                <c:pt idx="93">
                  <c:v>0.88022946097396915</c:v>
                </c:pt>
                <c:pt idx="94">
                  <c:v>0.84728175961697738</c:v>
                </c:pt>
                <c:pt idx="95">
                  <c:v>0.91413630009121594</c:v>
                </c:pt>
                <c:pt idx="96">
                  <c:v>0.93912974829638385</c:v>
                </c:pt>
                <c:pt idx="97">
                  <c:v>0.95342530021406902</c:v>
                </c:pt>
                <c:pt idx="98">
                  <c:v>0.9712587780775841</c:v>
                </c:pt>
                <c:pt idx="99">
                  <c:v>1.0228590970863414</c:v>
                </c:pt>
                <c:pt idx="100">
                  <c:v>1.0701869038344864</c:v>
                </c:pt>
                <c:pt idx="101">
                  <c:v>1.0654956665573467</c:v>
                </c:pt>
                <c:pt idx="102">
                  <c:v>1.0892656852122062</c:v>
                </c:pt>
                <c:pt idx="103">
                  <c:v>1.0877160409087907</c:v>
                </c:pt>
                <c:pt idx="104">
                  <c:v>1.0050887877754962</c:v>
                </c:pt>
                <c:pt idx="105">
                  <c:v>1.0392914508200686</c:v>
                </c:pt>
                <c:pt idx="106">
                  <c:v>1.0500393511370203</c:v>
                </c:pt>
                <c:pt idx="107">
                  <c:v>1.0498006049685542</c:v>
                </c:pt>
                <c:pt idx="108">
                  <c:v>1.046989612979546</c:v>
                </c:pt>
                <c:pt idx="109">
                  <c:v>1.0738596832415324</c:v>
                </c:pt>
                <c:pt idx="110">
                  <c:v>1.0372598255095717</c:v>
                </c:pt>
                <c:pt idx="111">
                  <c:v>1.0759417091561669</c:v>
                </c:pt>
                <c:pt idx="112">
                  <c:v>1.0440829985783597</c:v>
                </c:pt>
                <c:pt idx="113">
                  <c:v>1.0549795270081512</c:v>
                </c:pt>
                <c:pt idx="114">
                  <c:v>1.0720954622977783</c:v>
                </c:pt>
                <c:pt idx="115">
                  <c:v>1.0621534737936404</c:v>
                </c:pt>
                <c:pt idx="116">
                  <c:v>1.1098791142872821</c:v>
                </c:pt>
                <c:pt idx="117">
                  <c:v>1.104937454247761</c:v>
                </c:pt>
                <c:pt idx="118">
                  <c:v>1.0772923190203509</c:v>
                </c:pt>
                <c:pt idx="119">
                  <c:v>1.0584698545400402</c:v>
                </c:pt>
                <c:pt idx="120">
                  <c:v>1.0471074432187724</c:v>
                </c:pt>
                <c:pt idx="121">
                  <c:v>1.0234030269447796</c:v>
                </c:pt>
                <c:pt idx="122">
                  <c:v>0.99130163810858529</c:v>
                </c:pt>
                <c:pt idx="123">
                  <c:v>0.95926732757021083</c:v>
                </c:pt>
                <c:pt idx="124">
                  <c:v>0.95751076439206961</c:v>
                </c:pt>
                <c:pt idx="125">
                  <c:v>0.94585373847221244</c:v>
                </c:pt>
                <c:pt idx="126">
                  <c:v>0.94071944723627365</c:v>
                </c:pt>
                <c:pt idx="127">
                  <c:v>0.95475678059198588</c:v>
                </c:pt>
                <c:pt idx="128">
                  <c:v>0.93890620874249098</c:v>
                </c:pt>
                <c:pt idx="129">
                  <c:v>0.90665461199574215</c:v>
                </c:pt>
                <c:pt idx="130">
                  <c:v>0.91418694124978039</c:v>
                </c:pt>
                <c:pt idx="131">
                  <c:v>0.89997230918137916</c:v>
                </c:pt>
                <c:pt idx="132">
                  <c:v>0.89743040632042237</c:v>
                </c:pt>
                <c:pt idx="133">
                  <c:v>0.92217024286250304</c:v>
                </c:pt>
                <c:pt idx="134">
                  <c:v>0.94229360460030631</c:v>
                </c:pt>
                <c:pt idx="135">
                  <c:v>0.92319238130624526</c:v>
                </c:pt>
                <c:pt idx="136">
                  <c:v>0.93213411159668613</c:v>
                </c:pt>
                <c:pt idx="137">
                  <c:v>0.93598747969418816</c:v>
                </c:pt>
                <c:pt idx="138">
                  <c:v>0.94365296899369022</c:v>
                </c:pt>
                <c:pt idx="139">
                  <c:v>0.93725749049408891</c:v>
                </c:pt>
                <c:pt idx="140">
                  <c:v>0.97920818821787881</c:v>
                </c:pt>
                <c:pt idx="141">
                  <c:v>1.0515348227885688</c:v>
                </c:pt>
                <c:pt idx="142">
                  <c:v>1.0010811792326486</c:v>
                </c:pt>
                <c:pt idx="143">
                  <c:v>1.046434492670514</c:v>
                </c:pt>
                <c:pt idx="144">
                  <c:v>1.0423407237750639</c:v>
                </c:pt>
                <c:pt idx="145">
                  <c:v>1.0088864929239543</c:v>
                </c:pt>
                <c:pt idx="146">
                  <c:v>1.0150287551417301</c:v>
                </c:pt>
                <c:pt idx="147">
                  <c:v>1.0519948252853366</c:v>
                </c:pt>
                <c:pt idx="148">
                  <c:v>1.0384160944175271</c:v>
                </c:pt>
                <c:pt idx="149">
                  <c:v>1.0145878794287511</c:v>
                </c:pt>
                <c:pt idx="150">
                  <c:v>1.0009365076062349</c:v>
                </c:pt>
                <c:pt idx="151">
                  <c:v>0.97014916643903748</c:v>
                </c:pt>
                <c:pt idx="152">
                  <c:v>0.95549283435021271</c:v>
                </c:pt>
                <c:pt idx="153">
                  <c:v>0.92634039945199376</c:v>
                </c:pt>
                <c:pt idx="154">
                  <c:v>0.9627964941671604</c:v>
                </c:pt>
                <c:pt idx="155">
                  <c:v>0.95885730751023934</c:v>
                </c:pt>
                <c:pt idx="156">
                  <c:v>0.96064008523542188</c:v>
                </c:pt>
                <c:pt idx="157">
                  <c:v>0.98641247543793642</c:v>
                </c:pt>
                <c:pt idx="158">
                  <c:v>1.02681830650096</c:v>
                </c:pt>
                <c:pt idx="159">
                  <c:v>1.0227806633763659</c:v>
                </c:pt>
                <c:pt idx="160">
                  <c:v>1.0112646765738054</c:v>
                </c:pt>
                <c:pt idx="161">
                  <c:v>1.0010483938606056</c:v>
                </c:pt>
                <c:pt idx="162">
                  <c:v>1.0202807467284116</c:v>
                </c:pt>
                <c:pt idx="163">
                  <c:v>1.0411427611830644</c:v>
                </c:pt>
                <c:pt idx="164">
                  <c:v>1.0290740390872641</c:v>
                </c:pt>
                <c:pt idx="165">
                  <c:v>1.0146566506083123</c:v>
                </c:pt>
                <c:pt idx="166">
                  <c:v>1.0242729193921707</c:v>
                </c:pt>
                <c:pt idx="167">
                  <c:v>0.97624467979807983</c:v>
                </c:pt>
                <c:pt idx="168">
                  <c:v>0.98516866244032242</c:v>
                </c:pt>
                <c:pt idx="169">
                  <c:v>0.98204618382975373</c:v>
                </c:pt>
                <c:pt idx="170">
                  <c:v>0.97102452531645567</c:v>
                </c:pt>
                <c:pt idx="171">
                  <c:v>0.96114416387279311</c:v>
                </c:pt>
                <c:pt idx="172">
                  <c:v>1.014237047830967</c:v>
                </c:pt>
                <c:pt idx="173">
                  <c:v>1.0505494955283139</c:v>
                </c:pt>
                <c:pt idx="174">
                  <c:v>0.97457976188141149</c:v>
                </c:pt>
                <c:pt idx="175">
                  <c:v>0.97423535611812695</c:v>
                </c:pt>
                <c:pt idx="176">
                  <c:v>0.96778747181648861</c:v>
                </c:pt>
                <c:pt idx="177">
                  <c:v>0.96679251250222376</c:v>
                </c:pt>
                <c:pt idx="178">
                  <c:v>0.98535181794402305</c:v>
                </c:pt>
                <c:pt idx="179">
                  <c:v>1.013881110488839</c:v>
                </c:pt>
                <c:pt idx="180">
                  <c:v>0.99554310956850989</c:v>
                </c:pt>
                <c:pt idx="181">
                  <c:v>0.97933365523901494</c:v>
                </c:pt>
                <c:pt idx="182">
                  <c:v>0.96104292722032414</c:v>
                </c:pt>
                <c:pt idx="183">
                  <c:v>0.99582419274140788</c:v>
                </c:pt>
                <c:pt idx="184">
                  <c:v>0.97738099848948445</c:v>
                </c:pt>
                <c:pt idx="185">
                  <c:v>0.9636744935026027</c:v>
                </c:pt>
                <c:pt idx="186">
                  <c:v>1.0268830692629831</c:v>
                </c:pt>
                <c:pt idx="187">
                  <c:v>1.0477035208823415</c:v>
                </c:pt>
                <c:pt idx="188">
                  <c:v>1.0228855536106662</c:v>
                </c:pt>
                <c:pt idx="189">
                  <c:v>1.0086692206694365</c:v>
                </c:pt>
                <c:pt idx="190">
                  <c:v>1.0012995798618529</c:v>
                </c:pt>
                <c:pt idx="191">
                  <c:v>1.0314353393769926</c:v>
                </c:pt>
                <c:pt idx="192">
                  <c:v>1.0627445596210614</c:v>
                </c:pt>
                <c:pt idx="193">
                  <c:v>1.0697382129686286</c:v>
                </c:pt>
                <c:pt idx="194">
                  <c:v>1.0910373915159379</c:v>
                </c:pt>
                <c:pt idx="195">
                  <c:v>1.1071115293217013</c:v>
                </c:pt>
                <c:pt idx="196">
                  <c:v>1.0773340079164311</c:v>
                </c:pt>
                <c:pt idx="197">
                  <c:v>1.0860364011495101</c:v>
                </c:pt>
                <c:pt idx="198">
                  <c:v>1.050338026956035</c:v>
                </c:pt>
                <c:pt idx="199">
                  <c:v>0.97259597415772336</c:v>
                </c:pt>
                <c:pt idx="200">
                  <c:v>0.97909347386351542</c:v>
                </c:pt>
                <c:pt idx="201">
                  <c:v>0.98457303974221266</c:v>
                </c:pt>
                <c:pt idx="202">
                  <c:v>0.97740468420293847</c:v>
                </c:pt>
                <c:pt idx="203">
                  <c:v>0.9591353698085574</c:v>
                </c:pt>
                <c:pt idx="204">
                  <c:v>0.95745281497015644</c:v>
                </c:pt>
                <c:pt idx="205">
                  <c:v>0.95071805675401277</c:v>
                </c:pt>
                <c:pt idx="206">
                  <c:v>0.95909880638245271</c:v>
                </c:pt>
                <c:pt idx="207">
                  <c:v>0.90750408746100131</c:v>
                </c:pt>
                <c:pt idx="208">
                  <c:v>0.90148089050487501</c:v>
                </c:pt>
                <c:pt idx="209">
                  <c:v>0.89938555008955423</c:v>
                </c:pt>
                <c:pt idx="210">
                  <c:v>0.9600850497428941</c:v>
                </c:pt>
                <c:pt idx="211">
                  <c:v>1.0187511763724881</c:v>
                </c:pt>
                <c:pt idx="212">
                  <c:v>1.0265258230142957</c:v>
                </c:pt>
                <c:pt idx="213">
                  <c:v>0.9964838070459715</c:v>
                </c:pt>
                <c:pt idx="214">
                  <c:v>1.0456865181541477</c:v>
                </c:pt>
                <c:pt idx="215">
                  <c:v>1.0344364826077022</c:v>
                </c:pt>
                <c:pt idx="216">
                  <c:v>1.0213867339186284</c:v>
                </c:pt>
                <c:pt idx="217">
                  <c:v>0.99709307461507846</c:v>
                </c:pt>
                <c:pt idx="218">
                  <c:v>0.98379746597346263</c:v>
                </c:pt>
                <c:pt idx="219">
                  <c:v>0.95641409446028025</c:v>
                </c:pt>
                <c:pt idx="220">
                  <c:v>0.94959131269305752</c:v>
                </c:pt>
                <c:pt idx="221">
                  <c:v>0.93674528926505751</c:v>
                </c:pt>
                <c:pt idx="222">
                  <c:v>0.93111768733796219</c:v>
                </c:pt>
                <c:pt idx="223">
                  <c:v>0.93092058161789293</c:v>
                </c:pt>
                <c:pt idx="224">
                  <c:v>0.95941422181402414</c:v>
                </c:pt>
                <c:pt idx="225">
                  <c:v>1.0007164395998283</c:v>
                </c:pt>
                <c:pt idx="226">
                  <c:v>0.97074860371903138</c:v>
                </c:pt>
                <c:pt idx="227">
                  <c:v>0.9668742274228721</c:v>
                </c:pt>
                <c:pt idx="228">
                  <c:v>0.92079955969185545</c:v>
                </c:pt>
                <c:pt idx="229">
                  <c:v>0.92676389217173416</c:v>
                </c:pt>
                <c:pt idx="230">
                  <c:v>0.93883400980352916</c:v>
                </c:pt>
                <c:pt idx="231">
                  <c:v>1.0231990599713643</c:v>
                </c:pt>
                <c:pt idx="232">
                  <c:v>1.0389615329257433</c:v>
                </c:pt>
                <c:pt idx="233">
                  <c:v>1.0863631622450705</c:v>
                </c:pt>
                <c:pt idx="234">
                  <c:v>1.0480025756887548</c:v>
                </c:pt>
                <c:pt idx="235">
                  <c:v>1.0639393032298681</c:v>
                </c:pt>
                <c:pt idx="236">
                  <c:v>1.0313345581861251</c:v>
                </c:pt>
                <c:pt idx="237">
                  <c:v>1.015055285649318</c:v>
                </c:pt>
                <c:pt idx="238">
                  <c:v>0.97827927716010843</c:v>
                </c:pt>
                <c:pt idx="239">
                  <c:v>0.99267454069412897</c:v>
                </c:pt>
                <c:pt idx="240">
                  <c:v>1.0337098614399465</c:v>
                </c:pt>
                <c:pt idx="241">
                  <c:v>1.0676926897669685</c:v>
                </c:pt>
                <c:pt idx="242">
                  <c:v>1.0509018228977476</c:v>
                </c:pt>
                <c:pt idx="243">
                  <c:v>0.98742082834759204</c:v>
                </c:pt>
                <c:pt idx="244">
                  <c:v>1.0222287973871118</c:v>
                </c:pt>
                <c:pt idx="245">
                  <c:v>1.000352249425094</c:v>
                </c:pt>
                <c:pt idx="246">
                  <c:v>1.0473118520886648</c:v>
                </c:pt>
                <c:pt idx="247">
                  <c:v>1.0387439951836328</c:v>
                </c:pt>
                <c:pt idx="248">
                  <c:v>1.0187558992181232</c:v>
                </c:pt>
                <c:pt idx="249">
                  <c:v>1.0314527624925418</c:v>
                </c:pt>
                <c:pt idx="250">
                  <c:v>1.0336044900426675</c:v>
                </c:pt>
                <c:pt idx="251">
                  <c:v>1.0643103177460089</c:v>
                </c:pt>
                <c:pt idx="252">
                  <c:v>1.0643581072175263</c:v>
                </c:pt>
                <c:pt idx="253">
                  <c:v>1.051417622157319</c:v>
                </c:pt>
                <c:pt idx="254">
                  <c:v>1.0553716984074621</c:v>
                </c:pt>
                <c:pt idx="255">
                  <c:v>1.0690532200174436</c:v>
                </c:pt>
                <c:pt idx="256">
                  <c:v>1.1151315599686786</c:v>
                </c:pt>
                <c:pt idx="257">
                  <c:v>1.1036328068500048</c:v>
                </c:pt>
                <c:pt idx="258">
                  <c:v>1.0426197844959006</c:v>
                </c:pt>
                <c:pt idx="259">
                  <c:v>1.0527726521724921</c:v>
                </c:pt>
                <c:pt idx="260">
                  <c:v>1.0718255923264175</c:v>
                </c:pt>
                <c:pt idx="261">
                  <c:v>1.0538187651703803</c:v>
                </c:pt>
                <c:pt idx="262">
                  <c:v>1.0488514139970262</c:v>
                </c:pt>
                <c:pt idx="263">
                  <c:v>0.95421975238099044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1-445F-A2E2-73F657637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751376"/>
        <c:axId val="506748496"/>
      </c:lineChart>
      <c:dateAx>
        <c:axId val="4523655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52362592"/>
        <c:crosses val="autoZero"/>
        <c:auto val="1"/>
        <c:lblOffset val="100"/>
        <c:baseTimeUnit val="months"/>
      </c:dateAx>
      <c:valAx>
        <c:axId val="45236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_);\(&quot;k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52365544"/>
        <c:crosses val="autoZero"/>
        <c:crossBetween val="between"/>
      </c:valAx>
      <c:valAx>
        <c:axId val="5067484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06751376"/>
        <c:crosses val="max"/>
        <c:crossBetween val="between"/>
      </c:valAx>
      <c:dateAx>
        <c:axId val="50675137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0674849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Rolling 12 from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Data!$F$6</c:f>
              <c:strCache>
                <c:ptCount val="1"/>
                <c:pt idx="0">
                  <c:v>Turnover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Data!$F$235:$F$280</c:f>
              <c:numCache>
                <c:formatCode>"kr"#,##0_);\("kr"#,##0\)</c:formatCode>
                <c:ptCount val="46"/>
                <c:pt idx="0">
                  <c:v>7416105</c:v>
                </c:pt>
                <c:pt idx="1">
                  <c:v>5079261</c:v>
                </c:pt>
                <c:pt idx="2">
                  <c:v>9723615</c:v>
                </c:pt>
                <c:pt idx="3">
                  <c:v>5401622</c:v>
                </c:pt>
                <c:pt idx="4">
                  <c:v>4430130</c:v>
                </c:pt>
                <c:pt idx="5">
                  <c:v>3603000</c:v>
                </c:pt>
                <c:pt idx="6">
                  <c:v>2450000</c:v>
                </c:pt>
                <c:pt idx="7">
                  <c:v>3206000</c:v>
                </c:pt>
                <c:pt idx="8">
                  <c:v>7874000</c:v>
                </c:pt>
                <c:pt idx="9">
                  <c:v>6222000</c:v>
                </c:pt>
                <c:pt idx="10">
                  <c:v>6180000</c:v>
                </c:pt>
                <c:pt idx="11">
                  <c:v>8672336</c:v>
                </c:pt>
                <c:pt idx="12">
                  <c:v>4888069</c:v>
                </c:pt>
                <c:pt idx="13">
                  <c:v>4599296</c:v>
                </c:pt>
                <c:pt idx="14">
                  <c:v>7720070</c:v>
                </c:pt>
                <c:pt idx="15">
                  <c:v>6777452</c:v>
                </c:pt>
                <c:pt idx="16">
                  <c:v>6797041</c:v>
                </c:pt>
                <c:pt idx="17">
                  <c:v>6125482</c:v>
                </c:pt>
                <c:pt idx="18">
                  <c:v>4132264</c:v>
                </c:pt>
                <c:pt idx="19">
                  <c:v>5905736</c:v>
                </c:pt>
                <c:pt idx="20">
                  <c:v>8734892</c:v>
                </c:pt>
                <c:pt idx="21">
                  <c:v>8012446</c:v>
                </c:pt>
                <c:pt idx="22">
                  <c:v>7175321</c:v>
                </c:pt>
                <c:pt idx="23">
                  <c:v>5881757</c:v>
                </c:pt>
                <c:pt idx="24">
                  <c:v>6487811</c:v>
                </c:pt>
                <c:pt idx="25">
                  <c:v>6594827</c:v>
                </c:pt>
                <c:pt idx="26">
                  <c:v>8978516</c:v>
                </c:pt>
                <c:pt idx="27">
                  <c:v>5060370</c:v>
                </c:pt>
                <c:pt idx="28">
                  <c:v>6538813</c:v>
                </c:pt>
                <c:pt idx="29">
                  <c:v>5543846</c:v>
                </c:pt>
                <c:pt idx="30">
                  <c:v>6913313</c:v>
                </c:pt>
                <c:pt idx="31">
                  <c:v>6940764</c:v>
                </c:pt>
                <c:pt idx="32">
                  <c:v>6804344</c:v>
                </c:pt>
                <c:pt idx="33">
                  <c:v>9912493</c:v>
                </c:pt>
                <c:pt idx="34">
                  <c:v>8838810</c:v>
                </c:pt>
                <c:pt idx="35">
                  <c:v>6738743</c:v>
                </c:pt>
                <c:pt idx="36">
                  <c:v>7302409</c:v>
                </c:pt>
                <c:pt idx="37">
                  <c:v>7061566</c:v>
                </c:pt>
                <c:pt idx="38">
                  <c:v>9304384</c:v>
                </c:pt>
                <c:pt idx="39">
                  <c:v>6842707</c:v>
                </c:pt>
                <c:pt idx="40">
                  <c:v>8082924</c:v>
                </c:pt>
                <c:pt idx="41">
                  <c:v>12032129</c:v>
                </c:pt>
                <c:pt idx="42">
                  <c:v>3956373</c:v>
                </c:pt>
                <c:pt idx="43">
                  <c:v>6818078</c:v>
                </c:pt>
                <c:pt idx="44">
                  <c:v>8843223</c:v>
                </c:pt>
                <c:pt idx="45">
                  <c:v>10442930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13-438E-A8D6-A4D82C0DB8B9}"/>
            </c:ext>
          </c:extLst>
        </c:ser>
        <c:ser>
          <c:idx val="2"/>
          <c:order val="1"/>
          <c:tx>
            <c:strRef>
              <c:f>Data!$G$6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Data!$G$235:$G$280</c:f>
              <c:numCache>
                <c:formatCode>"kr"#,##0_);\("kr"#,##0\)</c:formatCode>
                <c:ptCount val="46"/>
                <c:pt idx="0">
                  <c:v>5272036</c:v>
                </c:pt>
                <c:pt idx="1">
                  <c:v>5799209</c:v>
                </c:pt>
                <c:pt idx="2">
                  <c:v>6818541</c:v>
                </c:pt>
                <c:pt idx="3">
                  <c:v>3858963</c:v>
                </c:pt>
                <c:pt idx="4">
                  <c:v>3351739</c:v>
                </c:pt>
                <c:pt idx="5">
                  <c:v>6420000</c:v>
                </c:pt>
                <c:pt idx="6">
                  <c:v>1587000</c:v>
                </c:pt>
                <c:pt idx="7">
                  <c:v>4367000</c:v>
                </c:pt>
                <c:pt idx="8">
                  <c:v>8040000</c:v>
                </c:pt>
                <c:pt idx="9">
                  <c:v>7820000</c:v>
                </c:pt>
                <c:pt idx="10">
                  <c:v>5566000</c:v>
                </c:pt>
                <c:pt idx="11">
                  <c:v>5793111</c:v>
                </c:pt>
                <c:pt idx="12">
                  <c:v>3348186</c:v>
                </c:pt>
                <c:pt idx="13">
                  <c:v>6166111</c:v>
                </c:pt>
                <c:pt idx="14">
                  <c:v>10442071</c:v>
                </c:pt>
                <c:pt idx="15">
                  <c:v>6316844</c:v>
                </c:pt>
                <c:pt idx="16">
                  <c:v>9081072</c:v>
                </c:pt>
                <c:pt idx="17">
                  <c:v>6417099</c:v>
                </c:pt>
                <c:pt idx="18">
                  <c:v>4516490</c:v>
                </c:pt>
                <c:pt idx="19">
                  <c:v>4764859</c:v>
                </c:pt>
                <c:pt idx="20">
                  <c:v>7678358</c:v>
                </c:pt>
                <c:pt idx="21">
                  <c:v>6748827</c:v>
                </c:pt>
                <c:pt idx="22">
                  <c:v>7684707</c:v>
                </c:pt>
                <c:pt idx="23">
                  <c:v>6172428</c:v>
                </c:pt>
                <c:pt idx="24">
                  <c:v>7664395</c:v>
                </c:pt>
                <c:pt idx="25">
                  <c:v>6947661</c:v>
                </c:pt>
                <c:pt idx="26">
                  <c:v>6584300</c:v>
                </c:pt>
                <c:pt idx="27">
                  <c:v>7402047</c:v>
                </c:pt>
                <c:pt idx="28">
                  <c:v>7075113</c:v>
                </c:pt>
                <c:pt idx="29">
                  <c:v>9547255</c:v>
                </c:pt>
                <c:pt idx="30">
                  <c:v>6728028</c:v>
                </c:pt>
                <c:pt idx="31">
                  <c:v>4183721</c:v>
                </c:pt>
                <c:pt idx="32">
                  <c:v>6739185</c:v>
                </c:pt>
                <c:pt idx="33">
                  <c:v>8886868</c:v>
                </c:pt>
                <c:pt idx="34">
                  <c:v>11998606</c:v>
                </c:pt>
                <c:pt idx="35">
                  <c:v>7088606</c:v>
                </c:pt>
                <c:pt idx="36">
                  <c:v>7416373</c:v>
                </c:pt>
                <c:pt idx="37">
                  <c:v>7780956</c:v>
                </c:pt>
                <c:pt idx="38">
                  <c:v>8117955</c:v>
                </c:pt>
                <c:pt idx="39">
                  <c:v>13396553</c:v>
                </c:pt>
                <c:pt idx="40">
                  <c:v>7758820</c:v>
                </c:pt>
                <c:pt idx="41">
                  <c:v>10803427</c:v>
                </c:pt>
                <c:pt idx="42">
                  <c:v>4597582</c:v>
                </c:pt>
                <c:pt idx="43">
                  <c:v>5839725</c:v>
                </c:pt>
                <c:pt idx="44">
                  <c:v>7200645</c:v>
                </c:pt>
                <c:pt idx="45">
                  <c:v>8967674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13-438E-A8D6-A4D82C0DB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5424216"/>
        <c:axId val="755423136"/>
      </c:lineChart>
      <c:lineChart>
        <c:grouping val="standard"/>
        <c:varyColors val="0"/>
        <c:ser>
          <c:idx val="3"/>
          <c:order val="2"/>
          <c:tx>
            <c:v>ICI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13-438E-A8D6-A4D82C0DB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653136"/>
        <c:axId val="748651696"/>
      </c:lineChart>
      <c:catAx>
        <c:axId val="755424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5423136"/>
        <c:crosses val="autoZero"/>
        <c:auto val="1"/>
        <c:lblAlgn val="ctr"/>
        <c:lblOffset val="100"/>
        <c:noMultiLvlLbl val="0"/>
      </c:catAx>
      <c:valAx>
        <c:axId val="7554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_);\(&quot;k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5424216"/>
        <c:crosses val="autoZero"/>
        <c:crossBetween val="between"/>
      </c:valAx>
      <c:valAx>
        <c:axId val="748651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48653136"/>
        <c:crosses val="max"/>
        <c:crossBetween val="between"/>
      </c:valAx>
      <c:catAx>
        <c:axId val="74865313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48651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12 month rolling (zoomed)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Data!$B$6</c:f>
              <c:strCache>
                <c:ptCount val="1"/>
                <c:pt idx="0">
                  <c:v>12_Month Roll_Sales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Data!$A$7:$A$307</c:f>
              <c:numCache>
                <c:formatCode>mmm\-yy</c:formatCode>
                <c:ptCount val="301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</c:numRef>
          </c:cat>
          <c:val>
            <c:numRef>
              <c:f>Data!$B$7:$B$307</c:f>
              <c:numCache>
                <c:formatCode>"kr"#,##0_);\("kr"#,##0\)</c:formatCode>
                <c:ptCount val="301"/>
                <c:pt idx="11">
                  <c:v>20191921</c:v>
                </c:pt>
                <c:pt idx="12">
                  <c:v>20208334</c:v>
                </c:pt>
                <c:pt idx="13">
                  <c:v>20193144</c:v>
                </c:pt>
                <c:pt idx="14">
                  <c:v>19652948</c:v>
                </c:pt>
                <c:pt idx="15">
                  <c:v>20375859</c:v>
                </c:pt>
                <c:pt idx="16">
                  <c:v>20167143</c:v>
                </c:pt>
                <c:pt idx="17">
                  <c:v>21296952</c:v>
                </c:pt>
                <c:pt idx="18">
                  <c:v>22092087</c:v>
                </c:pt>
                <c:pt idx="19">
                  <c:v>21510344</c:v>
                </c:pt>
                <c:pt idx="20">
                  <c:v>21638335</c:v>
                </c:pt>
                <c:pt idx="21">
                  <c:v>21638636</c:v>
                </c:pt>
                <c:pt idx="22">
                  <c:v>21326903</c:v>
                </c:pt>
                <c:pt idx="23">
                  <c:v>21856448</c:v>
                </c:pt>
                <c:pt idx="24">
                  <c:v>22208626</c:v>
                </c:pt>
                <c:pt idx="25">
                  <c:v>23022531</c:v>
                </c:pt>
                <c:pt idx="26">
                  <c:v>23988602</c:v>
                </c:pt>
                <c:pt idx="27">
                  <c:v>23777990</c:v>
                </c:pt>
                <c:pt idx="28">
                  <c:v>24363461</c:v>
                </c:pt>
                <c:pt idx="29">
                  <c:v>23155002</c:v>
                </c:pt>
                <c:pt idx="30">
                  <c:v>23780614</c:v>
                </c:pt>
                <c:pt idx="31">
                  <c:v>24774557</c:v>
                </c:pt>
                <c:pt idx="32">
                  <c:v>25601894</c:v>
                </c:pt>
                <c:pt idx="33">
                  <c:v>25273956</c:v>
                </c:pt>
                <c:pt idx="34">
                  <c:v>25821898</c:v>
                </c:pt>
                <c:pt idx="35">
                  <c:v>25976510</c:v>
                </c:pt>
                <c:pt idx="36">
                  <c:v>25434976</c:v>
                </c:pt>
                <c:pt idx="37">
                  <c:v>25751715</c:v>
                </c:pt>
                <c:pt idx="38">
                  <c:v>25944364</c:v>
                </c:pt>
                <c:pt idx="39">
                  <c:v>26809962</c:v>
                </c:pt>
                <c:pt idx="40">
                  <c:v>27495468</c:v>
                </c:pt>
                <c:pt idx="41">
                  <c:v>29047667</c:v>
                </c:pt>
                <c:pt idx="42">
                  <c:v>27516950</c:v>
                </c:pt>
                <c:pt idx="43">
                  <c:v>27224901</c:v>
                </c:pt>
                <c:pt idx="44">
                  <c:v>28109208</c:v>
                </c:pt>
                <c:pt idx="45">
                  <c:v>29187399</c:v>
                </c:pt>
                <c:pt idx="46">
                  <c:v>30182401</c:v>
                </c:pt>
                <c:pt idx="47">
                  <c:v>31193814</c:v>
                </c:pt>
                <c:pt idx="48">
                  <c:v>31871429</c:v>
                </c:pt>
                <c:pt idx="49">
                  <c:v>32212228</c:v>
                </c:pt>
                <c:pt idx="50">
                  <c:v>33368150</c:v>
                </c:pt>
                <c:pt idx="51">
                  <c:v>34632470</c:v>
                </c:pt>
                <c:pt idx="52">
                  <c:v>34565585</c:v>
                </c:pt>
                <c:pt idx="53">
                  <c:v>34684897.109999999</c:v>
                </c:pt>
                <c:pt idx="54">
                  <c:v>35534092.969999999</c:v>
                </c:pt>
                <c:pt idx="55">
                  <c:v>36276754.049999997</c:v>
                </c:pt>
                <c:pt idx="56">
                  <c:v>36132165.159999996</c:v>
                </c:pt>
                <c:pt idx="57">
                  <c:v>35850653.549999997</c:v>
                </c:pt>
                <c:pt idx="58">
                  <c:v>35280326.299999997</c:v>
                </c:pt>
                <c:pt idx="59">
                  <c:v>35737578.049999997</c:v>
                </c:pt>
                <c:pt idx="60">
                  <c:v>36419687.089999996</c:v>
                </c:pt>
                <c:pt idx="61">
                  <c:v>37402303.779999994</c:v>
                </c:pt>
                <c:pt idx="62">
                  <c:v>37153757.230000004</c:v>
                </c:pt>
                <c:pt idx="63">
                  <c:v>36541966.609999999</c:v>
                </c:pt>
                <c:pt idx="64">
                  <c:v>37523781.789999999</c:v>
                </c:pt>
                <c:pt idx="65">
                  <c:v>36526841.68</c:v>
                </c:pt>
                <c:pt idx="66">
                  <c:v>36747823.289999999</c:v>
                </c:pt>
                <c:pt idx="67">
                  <c:v>36452222.859999999</c:v>
                </c:pt>
                <c:pt idx="68">
                  <c:v>36421138.269999996</c:v>
                </c:pt>
                <c:pt idx="69">
                  <c:v>37532324.879999995</c:v>
                </c:pt>
                <c:pt idx="70">
                  <c:v>38853371.479999997</c:v>
                </c:pt>
                <c:pt idx="71">
                  <c:v>40722239.699999996</c:v>
                </c:pt>
                <c:pt idx="72">
                  <c:v>41108152.659999996</c:v>
                </c:pt>
                <c:pt idx="73">
                  <c:v>40203900.969999999</c:v>
                </c:pt>
                <c:pt idx="74">
                  <c:v>41003430.620000005</c:v>
                </c:pt>
                <c:pt idx="75">
                  <c:v>40581025.240000002</c:v>
                </c:pt>
                <c:pt idx="76">
                  <c:v>41399075.059999995</c:v>
                </c:pt>
                <c:pt idx="77">
                  <c:v>42251716.060000002</c:v>
                </c:pt>
                <c:pt idx="78">
                  <c:v>41964965.589999996</c:v>
                </c:pt>
                <c:pt idx="79">
                  <c:v>42959652.710000001</c:v>
                </c:pt>
                <c:pt idx="80">
                  <c:v>44202940.720000006</c:v>
                </c:pt>
                <c:pt idx="81">
                  <c:v>45610986.720000006</c:v>
                </c:pt>
                <c:pt idx="82">
                  <c:v>46041948.839999996</c:v>
                </c:pt>
                <c:pt idx="83">
                  <c:v>44939359.220000006</c:v>
                </c:pt>
                <c:pt idx="84">
                  <c:v>45764856.220000006</c:v>
                </c:pt>
                <c:pt idx="85">
                  <c:v>49152083.220000006</c:v>
                </c:pt>
                <c:pt idx="86">
                  <c:v>48407579.119999997</c:v>
                </c:pt>
                <c:pt idx="87">
                  <c:v>50916207.119999997</c:v>
                </c:pt>
                <c:pt idx="88">
                  <c:v>51699398.119999997</c:v>
                </c:pt>
                <c:pt idx="89">
                  <c:v>52085693.119999997</c:v>
                </c:pt>
                <c:pt idx="90">
                  <c:v>53022101.119999997</c:v>
                </c:pt>
                <c:pt idx="91">
                  <c:v>54345540.350000001</c:v>
                </c:pt>
                <c:pt idx="92">
                  <c:v>54179764.82</c:v>
                </c:pt>
                <c:pt idx="93">
                  <c:v>54160762.82</c:v>
                </c:pt>
                <c:pt idx="94">
                  <c:v>53182484.350000001</c:v>
                </c:pt>
                <c:pt idx="95">
                  <c:v>51182722</c:v>
                </c:pt>
                <c:pt idx="96">
                  <c:v>50158572</c:v>
                </c:pt>
                <c:pt idx="97">
                  <c:v>46053117</c:v>
                </c:pt>
                <c:pt idx="98">
                  <c:v>45360564</c:v>
                </c:pt>
                <c:pt idx="99">
                  <c:v>42280220</c:v>
                </c:pt>
                <c:pt idx="100">
                  <c:v>39405369</c:v>
                </c:pt>
                <c:pt idx="101">
                  <c:v>38586715</c:v>
                </c:pt>
                <c:pt idx="102">
                  <c:v>37235292</c:v>
                </c:pt>
                <c:pt idx="103">
                  <c:v>33724702</c:v>
                </c:pt>
                <c:pt idx="104">
                  <c:v>32249667</c:v>
                </c:pt>
                <c:pt idx="105">
                  <c:v>28898971</c:v>
                </c:pt>
                <c:pt idx="106">
                  <c:v>27643195</c:v>
                </c:pt>
                <c:pt idx="107">
                  <c:v>27791178</c:v>
                </c:pt>
                <c:pt idx="108">
                  <c:v>26554052</c:v>
                </c:pt>
                <c:pt idx="109">
                  <c:v>26540834</c:v>
                </c:pt>
                <c:pt idx="110">
                  <c:v>26769780</c:v>
                </c:pt>
                <c:pt idx="111">
                  <c:v>27471293</c:v>
                </c:pt>
                <c:pt idx="112">
                  <c:v>28750467</c:v>
                </c:pt>
                <c:pt idx="113">
                  <c:v>28467546</c:v>
                </c:pt>
                <c:pt idx="114">
                  <c:v>29261877</c:v>
                </c:pt>
                <c:pt idx="115">
                  <c:v>31963015</c:v>
                </c:pt>
                <c:pt idx="116">
                  <c:v>33028279</c:v>
                </c:pt>
                <c:pt idx="117">
                  <c:v>35122238</c:v>
                </c:pt>
                <c:pt idx="118">
                  <c:v>35667639</c:v>
                </c:pt>
                <c:pt idx="119">
                  <c:v>35902211</c:v>
                </c:pt>
                <c:pt idx="120">
                  <c:v>36503081</c:v>
                </c:pt>
                <c:pt idx="121">
                  <c:v>38976350</c:v>
                </c:pt>
                <c:pt idx="122">
                  <c:v>40115597</c:v>
                </c:pt>
                <c:pt idx="123">
                  <c:v>40990678</c:v>
                </c:pt>
                <c:pt idx="124">
                  <c:v>41369381</c:v>
                </c:pt>
                <c:pt idx="125">
                  <c:v>43168875</c:v>
                </c:pt>
                <c:pt idx="126">
                  <c:v>44317716</c:v>
                </c:pt>
                <c:pt idx="127">
                  <c:v>43773742</c:v>
                </c:pt>
                <c:pt idx="128">
                  <c:v>44157675</c:v>
                </c:pt>
                <c:pt idx="129">
                  <c:v>45697348</c:v>
                </c:pt>
                <c:pt idx="130">
                  <c:v>47986745</c:v>
                </c:pt>
                <c:pt idx="131">
                  <c:v>49088803</c:v>
                </c:pt>
                <c:pt idx="132">
                  <c:v>50786721</c:v>
                </c:pt>
                <c:pt idx="133">
                  <c:v>51284024</c:v>
                </c:pt>
                <c:pt idx="134">
                  <c:v>50454362</c:v>
                </c:pt>
                <c:pt idx="135">
                  <c:v>50090381</c:v>
                </c:pt>
                <c:pt idx="136">
                  <c:v>51095993</c:v>
                </c:pt>
                <c:pt idx="137">
                  <c:v>49831924</c:v>
                </c:pt>
                <c:pt idx="138">
                  <c:v>49270698</c:v>
                </c:pt>
                <c:pt idx="139">
                  <c:v>49153931</c:v>
                </c:pt>
                <c:pt idx="140">
                  <c:v>49579675</c:v>
                </c:pt>
                <c:pt idx="141">
                  <c:v>48437453</c:v>
                </c:pt>
                <c:pt idx="142">
                  <c:v>47575336</c:v>
                </c:pt>
                <c:pt idx="143">
                  <c:v>46303235</c:v>
                </c:pt>
                <c:pt idx="144">
                  <c:v>45317988</c:v>
                </c:pt>
                <c:pt idx="145">
                  <c:v>44595203.4428</c:v>
                </c:pt>
                <c:pt idx="146">
                  <c:v>46051462.144699998</c:v>
                </c:pt>
                <c:pt idx="147">
                  <c:v>46423943.144699998</c:v>
                </c:pt>
                <c:pt idx="148">
                  <c:v>44492798.144699998</c:v>
                </c:pt>
                <c:pt idx="149">
                  <c:v>44921198.144699998</c:v>
                </c:pt>
                <c:pt idx="150">
                  <c:v>44759114.144699998</c:v>
                </c:pt>
                <c:pt idx="151">
                  <c:v>44549756.144699998</c:v>
                </c:pt>
                <c:pt idx="152">
                  <c:v>43845321.144699998</c:v>
                </c:pt>
                <c:pt idx="153">
                  <c:v>45192188.144699998</c:v>
                </c:pt>
                <c:pt idx="154">
                  <c:v>44913118.144699998</c:v>
                </c:pt>
                <c:pt idx="155">
                  <c:v>45109641.144699998</c:v>
                </c:pt>
                <c:pt idx="156">
                  <c:v>46572462.144699998</c:v>
                </c:pt>
                <c:pt idx="157">
                  <c:v>47004378.701899998</c:v>
                </c:pt>
                <c:pt idx="158">
                  <c:v>47028680</c:v>
                </c:pt>
                <c:pt idx="159">
                  <c:v>47961773</c:v>
                </c:pt>
                <c:pt idx="160">
                  <c:v>49355083</c:v>
                </c:pt>
                <c:pt idx="161">
                  <c:v>48973441</c:v>
                </c:pt>
                <c:pt idx="162">
                  <c:v>49755629</c:v>
                </c:pt>
                <c:pt idx="163">
                  <c:v>49970695</c:v>
                </c:pt>
                <c:pt idx="164">
                  <c:v>50138841</c:v>
                </c:pt>
                <c:pt idx="165">
                  <c:v>48947000</c:v>
                </c:pt>
                <c:pt idx="166">
                  <c:v>48587000</c:v>
                </c:pt>
                <c:pt idx="167">
                  <c:v>48806000</c:v>
                </c:pt>
                <c:pt idx="168">
                  <c:v>47838000</c:v>
                </c:pt>
                <c:pt idx="169">
                  <c:v>47393000</c:v>
                </c:pt>
                <c:pt idx="170">
                  <c:v>46399000</c:v>
                </c:pt>
                <c:pt idx="171">
                  <c:v>46162000</c:v>
                </c:pt>
                <c:pt idx="172">
                  <c:v>47692000</c:v>
                </c:pt>
                <c:pt idx="173">
                  <c:v>48371000</c:v>
                </c:pt>
                <c:pt idx="174">
                  <c:v>47639000</c:v>
                </c:pt>
                <c:pt idx="175">
                  <c:v>47637000</c:v>
                </c:pt>
                <c:pt idx="176">
                  <c:v>48988000</c:v>
                </c:pt>
                <c:pt idx="177">
                  <c:v>49685000</c:v>
                </c:pt>
                <c:pt idx="178">
                  <c:v>50515000</c:v>
                </c:pt>
                <c:pt idx="179">
                  <c:v>51108000</c:v>
                </c:pt>
                <c:pt idx="180">
                  <c:v>50797000</c:v>
                </c:pt>
                <c:pt idx="181">
                  <c:v>50560000</c:v>
                </c:pt>
                <c:pt idx="182">
                  <c:v>51601000</c:v>
                </c:pt>
                <c:pt idx="183">
                  <c:v>50783000</c:v>
                </c:pt>
                <c:pt idx="184">
                  <c:v>48863000</c:v>
                </c:pt>
                <c:pt idx="185">
                  <c:v>50983000</c:v>
                </c:pt>
                <c:pt idx="186">
                  <c:v>51233000</c:v>
                </c:pt>
                <c:pt idx="187">
                  <c:v>51005000</c:v>
                </c:pt>
                <c:pt idx="188">
                  <c:v>50591000</c:v>
                </c:pt>
                <c:pt idx="189">
                  <c:v>49699000</c:v>
                </c:pt>
                <c:pt idx="190">
                  <c:v>49996000</c:v>
                </c:pt>
                <c:pt idx="191">
                  <c:v>50708000</c:v>
                </c:pt>
                <c:pt idx="192">
                  <c:v>51775000</c:v>
                </c:pt>
                <c:pt idx="193">
                  <c:v>52391000</c:v>
                </c:pt>
                <c:pt idx="194">
                  <c:v>51966000</c:v>
                </c:pt>
                <c:pt idx="195">
                  <c:v>51638000</c:v>
                </c:pt>
                <c:pt idx="196">
                  <c:v>53406000</c:v>
                </c:pt>
                <c:pt idx="197">
                  <c:v>51817000</c:v>
                </c:pt>
                <c:pt idx="198">
                  <c:v>51862000</c:v>
                </c:pt>
                <c:pt idx="199">
                  <c:v>53702000</c:v>
                </c:pt>
                <c:pt idx="200">
                  <c:v>55599000</c:v>
                </c:pt>
                <c:pt idx="201">
                  <c:v>56172000</c:v>
                </c:pt>
                <c:pt idx="202">
                  <c:v>56147000</c:v>
                </c:pt>
                <c:pt idx="203">
                  <c:v>58268000</c:v>
                </c:pt>
                <c:pt idx="204">
                  <c:v>60469000</c:v>
                </c:pt>
                <c:pt idx="205">
                  <c:v>61645000</c:v>
                </c:pt>
                <c:pt idx="206">
                  <c:v>62701000</c:v>
                </c:pt>
                <c:pt idx="207">
                  <c:v>67202000</c:v>
                </c:pt>
                <c:pt idx="208">
                  <c:v>67855000</c:v>
                </c:pt>
                <c:pt idx="209">
                  <c:v>69669000</c:v>
                </c:pt>
                <c:pt idx="210">
                  <c:v>74916000</c:v>
                </c:pt>
                <c:pt idx="211">
                  <c:v>75144000</c:v>
                </c:pt>
                <c:pt idx="212">
                  <c:v>74480000</c:v>
                </c:pt>
                <c:pt idx="213">
                  <c:v>76299000</c:v>
                </c:pt>
                <c:pt idx="214">
                  <c:v>76472000</c:v>
                </c:pt>
                <c:pt idx="215">
                  <c:v>74388000</c:v>
                </c:pt>
                <c:pt idx="216">
                  <c:v>74030360</c:v>
                </c:pt>
                <c:pt idx="217">
                  <c:v>73528661</c:v>
                </c:pt>
                <c:pt idx="218">
                  <c:v>74408661</c:v>
                </c:pt>
                <c:pt idx="219">
                  <c:v>73308661</c:v>
                </c:pt>
                <c:pt idx="220">
                  <c:v>73856956</c:v>
                </c:pt>
                <c:pt idx="221">
                  <c:v>72963889</c:v>
                </c:pt>
                <c:pt idx="222">
                  <c:v>68999191</c:v>
                </c:pt>
                <c:pt idx="223">
                  <c:v>69029451</c:v>
                </c:pt>
                <c:pt idx="224">
                  <c:v>71340226</c:v>
                </c:pt>
                <c:pt idx="225">
                  <c:v>70121496</c:v>
                </c:pt>
                <c:pt idx="226">
                  <c:v>71597382</c:v>
                </c:pt>
                <c:pt idx="227">
                  <c:v>71404311</c:v>
                </c:pt>
                <c:pt idx="228">
                  <c:v>72449056</c:v>
                </c:pt>
                <c:pt idx="229">
                  <c:v>71878016</c:v>
                </c:pt>
                <c:pt idx="230">
                  <c:v>75129631</c:v>
                </c:pt>
                <c:pt idx="231">
                  <c:v>73607253</c:v>
                </c:pt>
                <c:pt idx="232">
                  <c:v>71047088</c:v>
                </c:pt>
                <c:pt idx="233">
                  <c:v>69376155</c:v>
                </c:pt>
                <c:pt idx="234">
                  <c:v>67819853</c:v>
                </c:pt>
                <c:pt idx="235">
                  <c:v>65791593</c:v>
                </c:pt>
                <c:pt idx="236">
                  <c:v>65191818</c:v>
                </c:pt>
                <c:pt idx="237">
                  <c:v>65868548</c:v>
                </c:pt>
                <c:pt idx="238">
                  <c:v>65619662</c:v>
                </c:pt>
                <c:pt idx="239">
                  <c:v>70258069</c:v>
                </c:pt>
                <c:pt idx="240">
                  <c:v>67730033</c:v>
                </c:pt>
                <c:pt idx="241">
                  <c:v>67250068</c:v>
                </c:pt>
                <c:pt idx="242">
                  <c:v>65246523</c:v>
                </c:pt>
                <c:pt idx="243">
                  <c:v>66622353</c:v>
                </c:pt>
                <c:pt idx="244">
                  <c:v>68989264</c:v>
                </c:pt>
                <c:pt idx="245">
                  <c:v>71511746</c:v>
                </c:pt>
                <c:pt idx="246">
                  <c:v>73194010</c:v>
                </c:pt>
                <c:pt idx="247">
                  <c:v>75893746</c:v>
                </c:pt>
                <c:pt idx="248">
                  <c:v>76754638</c:v>
                </c:pt>
                <c:pt idx="249">
                  <c:v>78545084</c:v>
                </c:pt>
                <c:pt idx="250">
                  <c:v>79540405</c:v>
                </c:pt>
                <c:pt idx="251">
                  <c:v>76749826</c:v>
                </c:pt>
                <c:pt idx="252">
                  <c:v>78349568</c:v>
                </c:pt>
                <c:pt idx="253">
                  <c:v>80345099</c:v>
                </c:pt>
                <c:pt idx="254">
                  <c:v>81603545</c:v>
                </c:pt>
                <c:pt idx="255">
                  <c:v>79886463</c:v>
                </c:pt>
                <c:pt idx="256">
                  <c:v>79628235</c:v>
                </c:pt>
                <c:pt idx="257">
                  <c:v>79046599</c:v>
                </c:pt>
                <c:pt idx="258">
                  <c:v>81827648</c:v>
                </c:pt>
                <c:pt idx="259">
                  <c:v>82862676</c:v>
                </c:pt>
                <c:pt idx="260">
                  <c:v>80932128</c:v>
                </c:pt>
                <c:pt idx="261">
                  <c:v>82832175</c:v>
                </c:pt>
                <c:pt idx="262">
                  <c:v>84495664</c:v>
                </c:pt>
                <c:pt idx="263">
                  <c:v>85352650</c:v>
                </c:pt>
                <c:pt idx="264">
                  <c:v>86167248</c:v>
                </c:pt>
                <c:pt idx="265">
                  <c:v>86633987</c:v>
                </c:pt>
                <c:pt idx="266">
                  <c:v>86959855</c:v>
                </c:pt>
                <c:pt idx="267">
                  <c:v>88742192</c:v>
                </c:pt>
                <c:pt idx="268">
                  <c:v>90286303</c:v>
                </c:pt>
                <c:pt idx="269">
                  <c:v>96774586</c:v>
                </c:pt>
                <c:pt idx="270">
                  <c:v>93817646</c:v>
                </c:pt>
                <c:pt idx="271">
                  <c:v>93694960</c:v>
                </c:pt>
                <c:pt idx="272">
                  <c:v>95733839</c:v>
                </c:pt>
                <c:pt idx="273">
                  <c:v>96264276</c:v>
                </c:pt>
                <c:pt idx="274">
                  <c:v>104109616</c:v>
                </c:pt>
                <c:pt idx="275">
                  <c:v>104473521</c:v>
                </c:pt>
                <c:pt idx="276">
                  <c:v>106462354</c:v>
                </c:pt>
                <c:pt idx="277">
                  <c:v>109758275</c:v>
                </c:pt>
                <c:pt idx="278">
                  <c:v>109472658</c:v>
                </c:pt>
                <c:pt idx="279">
                  <c:v>110178263</c:v>
                </c:pt>
                <c:pt idx="280">
                  <c:v>109511123</c:v>
                </c:pt>
                <c:pt idx="281">
                  <c:v>105414943</c:v>
                </c:pt>
                <c:pt idx="282">
                  <c:v>107650601</c:v>
                </c:pt>
                <c:pt idx="283">
                  <c:v>110461796</c:v>
                </c:pt>
                <c:pt idx="284">
                  <c:v>110050502</c:v>
                </c:pt>
                <c:pt idx="285">
                  <c:v>108767310</c:v>
                </c:pt>
                <c:pt idx="286">
                  <c:v>103796133</c:v>
                </c:pt>
                <c:pt idx="287">
                  <c:v>106943155</c:v>
                </c:pt>
                <c:pt idx="288">
                  <c:v>105609401</c:v>
                </c:pt>
                <c:pt idx="289">
                  <c:v>104649972</c:v>
                </c:pt>
                <c:pt idx="290">
                  <c:v>104283897</c:v>
                </c:pt>
                <c:pt idx="291">
                  <c:v>107647308</c:v>
                </c:pt>
                <c:pt idx="292">
                  <c:v>107602847</c:v>
                </c:pt>
                <c:pt idx="293">
                  <c:v>107474596</c:v>
                </c:pt>
                <c:pt idx="294">
                  <c:v>107000697</c:v>
                </c:pt>
                <c:pt idx="295">
                  <c:v>106233086</c:v>
                </c:pt>
                <c:pt idx="296">
                  <c:v>107062103</c:v>
                </c:pt>
                <c:pt idx="297">
                  <c:v>107538595</c:v>
                </c:pt>
                <c:pt idx="298">
                  <c:v>105191977</c:v>
                </c:pt>
                <c:pt idx="299">
                  <c:v>106189676</c:v>
                </c:pt>
                <c:pt idx="300">
                  <c:v>107940445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2-4615-9F09-77A75297E8FE}"/>
            </c:ext>
          </c:extLst>
        </c:ser>
        <c:ser>
          <c:idx val="1"/>
          <c:order val="1"/>
          <c:tx>
            <c:strRef>
              <c:f>Data!$C$6</c:f>
              <c:strCache>
                <c:ptCount val="1"/>
                <c:pt idx="0">
                  <c:v>12_Month Roll_Orders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Data!$A$7:$A$307</c:f>
              <c:numCache>
                <c:formatCode>mmm\-yy</c:formatCode>
                <c:ptCount val="301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</c:numRef>
          </c:cat>
          <c:val>
            <c:numRef>
              <c:f>Data!$C$7:$C$307</c:f>
              <c:numCache>
                <c:formatCode>"kr"#,##0_);\("kr"#,##0\)</c:formatCode>
                <c:ptCount val="301"/>
                <c:pt idx="11">
                  <c:v>20868848</c:v>
                </c:pt>
                <c:pt idx="12">
                  <c:v>20992579</c:v>
                </c:pt>
                <c:pt idx="13">
                  <c:v>21005936</c:v>
                </c:pt>
                <c:pt idx="14">
                  <c:v>21001916</c:v>
                </c:pt>
                <c:pt idx="15">
                  <c:v>21634587</c:v>
                </c:pt>
                <c:pt idx="16">
                  <c:v>22231686</c:v>
                </c:pt>
                <c:pt idx="17">
                  <c:v>21995256</c:v>
                </c:pt>
                <c:pt idx="18">
                  <c:v>21964094</c:v>
                </c:pt>
                <c:pt idx="19">
                  <c:v>21458169</c:v>
                </c:pt>
                <c:pt idx="20">
                  <c:v>21912287</c:v>
                </c:pt>
                <c:pt idx="21">
                  <c:v>20975118</c:v>
                </c:pt>
                <c:pt idx="22">
                  <c:v>21782343</c:v>
                </c:pt>
                <c:pt idx="23">
                  <c:v>22661093</c:v>
                </c:pt>
                <c:pt idx="24">
                  <c:v>22922980</c:v>
                </c:pt>
                <c:pt idx="25">
                  <c:v>22739525</c:v>
                </c:pt>
                <c:pt idx="26">
                  <c:v>23661431</c:v>
                </c:pt>
                <c:pt idx="27">
                  <c:v>23833482</c:v>
                </c:pt>
                <c:pt idx="28">
                  <c:v>23665121</c:v>
                </c:pt>
                <c:pt idx="29">
                  <c:v>24526764</c:v>
                </c:pt>
                <c:pt idx="30">
                  <c:v>24413497</c:v>
                </c:pt>
                <c:pt idx="31">
                  <c:v>24933718</c:v>
                </c:pt>
                <c:pt idx="32">
                  <c:v>24927188</c:v>
                </c:pt>
                <c:pt idx="33">
                  <c:v>25045220</c:v>
                </c:pt>
                <c:pt idx="34">
                  <c:v>25361148</c:v>
                </c:pt>
                <c:pt idx="35">
                  <c:v>24608560</c:v>
                </c:pt>
                <c:pt idx="36">
                  <c:v>25323891</c:v>
                </c:pt>
                <c:pt idx="37">
                  <c:v>26255184</c:v>
                </c:pt>
                <c:pt idx="38">
                  <c:v>26347887</c:v>
                </c:pt>
                <c:pt idx="39">
                  <c:v>27610605</c:v>
                </c:pt>
                <c:pt idx="40">
                  <c:v>27729017</c:v>
                </c:pt>
                <c:pt idx="41">
                  <c:v>27240484</c:v>
                </c:pt>
                <c:pt idx="42">
                  <c:v>27056056</c:v>
                </c:pt>
                <c:pt idx="43">
                  <c:v>28165890</c:v>
                </c:pt>
                <c:pt idx="44">
                  <c:v>28803508</c:v>
                </c:pt>
                <c:pt idx="45">
                  <c:v>30297833</c:v>
                </c:pt>
                <c:pt idx="46">
                  <c:v>31962023</c:v>
                </c:pt>
                <c:pt idx="47">
                  <c:v>32797566</c:v>
                </c:pt>
                <c:pt idx="48">
                  <c:v>32082975</c:v>
                </c:pt>
                <c:pt idx="49">
                  <c:v>32717720</c:v>
                </c:pt>
                <c:pt idx="50">
                  <c:v>33183325</c:v>
                </c:pt>
                <c:pt idx="51">
                  <c:v>33486986</c:v>
                </c:pt>
                <c:pt idx="52">
                  <c:v>34439993</c:v>
                </c:pt>
                <c:pt idx="53">
                  <c:v>35445566.600000001</c:v>
                </c:pt>
                <c:pt idx="54">
                  <c:v>36317866.030000001</c:v>
                </c:pt>
                <c:pt idx="55">
                  <c:v>35757234.439999998</c:v>
                </c:pt>
                <c:pt idx="56">
                  <c:v>37399958.130000003</c:v>
                </c:pt>
                <c:pt idx="57">
                  <c:v>35923676.200000003</c:v>
                </c:pt>
                <c:pt idx="58">
                  <c:v>35272087.350000001</c:v>
                </c:pt>
                <c:pt idx="59">
                  <c:v>35767169.859999999</c:v>
                </c:pt>
                <c:pt idx="60">
                  <c:v>36662442.280000001</c:v>
                </c:pt>
                <c:pt idx="61">
                  <c:v>36679273.5</c:v>
                </c:pt>
                <c:pt idx="62">
                  <c:v>37076795.170000002</c:v>
                </c:pt>
                <c:pt idx="63">
                  <c:v>36640779.090000004</c:v>
                </c:pt>
                <c:pt idx="64">
                  <c:v>36105076.310000002</c:v>
                </c:pt>
                <c:pt idx="65">
                  <c:v>36564468.870000005</c:v>
                </c:pt>
                <c:pt idx="66">
                  <c:v>37199615.559999995</c:v>
                </c:pt>
                <c:pt idx="67">
                  <c:v>37459460.789999999</c:v>
                </c:pt>
                <c:pt idx="68">
                  <c:v>36724533.810000002</c:v>
                </c:pt>
                <c:pt idx="69">
                  <c:v>39358866.740000002</c:v>
                </c:pt>
                <c:pt idx="70">
                  <c:v>38920807.180000007</c:v>
                </c:pt>
                <c:pt idx="71">
                  <c:v>39242119.060000002</c:v>
                </c:pt>
                <c:pt idx="72">
                  <c:v>39117986.640000001</c:v>
                </c:pt>
                <c:pt idx="73">
                  <c:v>39488170.420000002</c:v>
                </c:pt>
                <c:pt idx="74">
                  <c:v>40309225.340000004</c:v>
                </c:pt>
                <c:pt idx="75">
                  <c:v>40116476.420000002</c:v>
                </c:pt>
                <c:pt idx="76">
                  <c:v>42032481.200000003</c:v>
                </c:pt>
                <c:pt idx="77">
                  <c:v>44437013.839999996</c:v>
                </c:pt>
                <c:pt idx="78">
                  <c:v>44838090.719999999</c:v>
                </c:pt>
                <c:pt idx="79">
                  <c:v>45904869.019999996</c:v>
                </c:pt>
                <c:pt idx="80">
                  <c:v>45959908.569999993</c:v>
                </c:pt>
                <c:pt idx="81">
                  <c:v>46192329.57</c:v>
                </c:pt>
                <c:pt idx="82">
                  <c:v>47613270.809999995</c:v>
                </c:pt>
                <c:pt idx="83">
                  <c:v>46818500.260000005</c:v>
                </c:pt>
                <c:pt idx="84">
                  <c:v>48392374.260000005</c:v>
                </c:pt>
                <c:pt idx="85">
                  <c:v>49762660.260000005</c:v>
                </c:pt>
                <c:pt idx="86">
                  <c:v>49561031.670000002</c:v>
                </c:pt>
                <c:pt idx="87">
                  <c:v>52912046.670000002</c:v>
                </c:pt>
                <c:pt idx="88">
                  <c:v>52216726.670000002</c:v>
                </c:pt>
                <c:pt idx="89">
                  <c:v>50488021.870000005</c:v>
                </c:pt>
                <c:pt idx="90">
                  <c:v>50790608.870000005</c:v>
                </c:pt>
                <c:pt idx="91">
                  <c:v>50820353.93</c:v>
                </c:pt>
                <c:pt idx="92">
                  <c:v>50738677.670000002</c:v>
                </c:pt>
                <c:pt idx="93">
                  <c:v>51919080.670000002</c:v>
                </c:pt>
                <c:pt idx="94">
                  <c:v>49211600.840000004</c:v>
                </c:pt>
                <c:pt idx="95">
                  <c:v>49006229</c:v>
                </c:pt>
                <c:pt idx="96">
                  <c:v>46831712</c:v>
                </c:pt>
                <c:pt idx="97">
                  <c:v>44753889</c:v>
                </c:pt>
                <c:pt idx="98">
                  <c:v>42206021</c:v>
                </c:pt>
                <c:pt idx="99">
                  <c:v>37930837</c:v>
                </c:pt>
                <c:pt idx="100">
                  <c:v>36067661</c:v>
                </c:pt>
                <c:pt idx="101">
                  <c:v>33936509</c:v>
                </c:pt>
                <c:pt idx="102">
                  <c:v>31988840</c:v>
                </c:pt>
                <c:pt idx="103">
                  <c:v>29881293</c:v>
                </c:pt>
                <c:pt idx="104">
                  <c:v>28387107</c:v>
                </c:pt>
                <c:pt idx="105">
                  <c:v>24485571</c:v>
                </c:pt>
                <c:pt idx="106">
                  <c:v>25269648</c:v>
                </c:pt>
                <c:pt idx="107">
                  <c:v>26099522</c:v>
                </c:pt>
                <c:pt idx="108">
                  <c:v>25317305</c:v>
                </c:pt>
                <c:pt idx="109">
                  <c:v>25778018</c:v>
                </c:pt>
                <c:pt idx="110">
                  <c:v>27381713</c:v>
                </c:pt>
                <c:pt idx="111">
                  <c:v>29399418</c:v>
                </c:pt>
                <c:pt idx="112">
                  <c:v>30633498</c:v>
                </c:pt>
                <c:pt idx="113">
                  <c:v>31008721</c:v>
                </c:pt>
                <c:pt idx="114">
                  <c:v>31828613</c:v>
                </c:pt>
                <c:pt idx="115">
                  <c:v>32125668</c:v>
                </c:pt>
                <c:pt idx="116">
                  <c:v>34326008</c:v>
                </c:pt>
                <c:pt idx="117">
                  <c:v>36879732</c:v>
                </c:pt>
                <c:pt idx="118">
                  <c:v>37443909</c:v>
                </c:pt>
                <c:pt idx="119">
                  <c:v>37589242</c:v>
                </c:pt>
                <c:pt idx="120">
                  <c:v>39199187</c:v>
                </c:pt>
                <c:pt idx="121">
                  <c:v>40428602</c:v>
                </c:pt>
                <c:pt idx="122">
                  <c:v>43162044</c:v>
                </c:pt>
                <c:pt idx="123">
                  <c:v>42797670</c:v>
                </c:pt>
                <c:pt idx="124">
                  <c:v>43643850</c:v>
                </c:pt>
                <c:pt idx="125">
                  <c:v>46281155</c:v>
                </c:pt>
                <c:pt idx="126">
                  <c:v>47072216</c:v>
                </c:pt>
                <c:pt idx="127">
                  <c:v>48583562</c:v>
                </c:pt>
                <c:pt idx="128">
                  <c:v>48791469</c:v>
                </c:pt>
                <c:pt idx="129">
                  <c:v>49229402</c:v>
                </c:pt>
                <c:pt idx="130">
                  <c:v>50792523</c:v>
                </c:pt>
                <c:pt idx="131">
                  <c:v>51401251</c:v>
                </c:pt>
                <c:pt idx="132">
                  <c:v>51975284</c:v>
                </c:pt>
                <c:pt idx="133">
                  <c:v>50837937</c:v>
                </c:pt>
                <c:pt idx="134">
                  <c:v>48399221</c:v>
                </c:pt>
                <c:pt idx="135">
                  <c:v>47962079</c:v>
                </c:pt>
                <c:pt idx="136">
                  <c:v>48329336</c:v>
                </c:pt>
                <c:pt idx="137">
                  <c:v>46877860</c:v>
                </c:pt>
                <c:pt idx="138">
                  <c:v>47041533</c:v>
                </c:pt>
                <c:pt idx="139">
                  <c:v>46150931</c:v>
                </c:pt>
                <c:pt idx="140">
                  <c:v>44951641</c:v>
                </c:pt>
                <c:pt idx="141">
                  <c:v>44280887</c:v>
                </c:pt>
                <c:pt idx="142">
                  <c:v>42816485</c:v>
                </c:pt>
                <c:pt idx="143">
                  <c:v>41553931</c:v>
                </c:pt>
                <c:pt idx="144">
                  <c:v>41790900</c:v>
                </c:pt>
                <c:pt idx="145">
                  <c:v>42021775</c:v>
                </c:pt>
                <c:pt idx="146">
                  <c:v>42514359</c:v>
                </c:pt>
                <c:pt idx="147">
                  <c:v>43273341</c:v>
                </c:pt>
                <c:pt idx="148">
                  <c:v>41644702</c:v>
                </c:pt>
                <c:pt idx="149">
                  <c:v>42390022</c:v>
                </c:pt>
                <c:pt idx="150">
                  <c:v>41950815</c:v>
                </c:pt>
                <c:pt idx="151">
                  <c:v>43623486</c:v>
                </c:pt>
                <c:pt idx="152">
                  <c:v>46104882</c:v>
                </c:pt>
                <c:pt idx="153">
                  <c:v>45241049</c:v>
                </c:pt>
                <c:pt idx="154">
                  <c:v>46998636</c:v>
                </c:pt>
                <c:pt idx="155">
                  <c:v>47019616</c:v>
                </c:pt>
                <c:pt idx="156">
                  <c:v>46986328</c:v>
                </c:pt>
                <c:pt idx="157">
                  <c:v>47710796</c:v>
                </c:pt>
                <c:pt idx="158">
                  <c:v>49473928</c:v>
                </c:pt>
                <c:pt idx="159">
                  <c:v>49804277</c:v>
                </c:pt>
                <c:pt idx="160">
                  <c:v>50075069</c:v>
                </c:pt>
                <c:pt idx="161">
                  <c:v>49019305</c:v>
                </c:pt>
                <c:pt idx="162">
                  <c:v>48270382</c:v>
                </c:pt>
                <c:pt idx="163">
                  <c:v>47746641</c:v>
                </c:pt>
                <c:pt idx="164">
                  <c:v>46445634</c:v>
                </c:pt>
                <c:pt idx="165">
                  <c:v>47126000</c:v>
                </c:pt>
                <c:pt idx="166">
                  <c:v>46588000</c:v>
                </c:pt>
                <c:pt idx="167">
                  <c:v>46885000</c:v>
                </c:pt>
                <c:pt idx="168">
                  <c:v>47188000</c:v>
                </c:pt>
                <c:pt idx="169">
                  <c:v>48664000</c:v>
                </c:pt>
                <c:pt idx="170">
                  <c:v>47456000</c:v>
                </c:pt>
                <c:pt idx="171">
                  <c:v>46682000</c:v>
                </c:pt>
                <c:pt idx="172">
                  <c:v>47742000</c:v>
                </c:pt>
                <c:pt idx="173">
                  <c:v>49352000</c:v>
                </c:pt>
                <c:pt idx="174">
                  <c:v>49599000</c:v>
                </c:pt>
                <c:pt idx="175">
                  <c:v>49022000</c:v>
                </c:pt>
                <c:pt idx="176">
                  <c:v>49706000</c:v>
                </c:pt>
                <c:pt idx="177">
                  <c:v>50891000</c:v>
                </c:pt>
                <c:pt idx="178">
                  <c:v>49315000</c:v>
                </c:pt>
                <c:pt idx="179">
                  <c:v>50350000</c:v>
                </c:pt>
                <c:pt idx="180">
                  <c:v>49885000</c:v>
                </c:pt>
                <c:pt idx="181">
                  <c:v>49095000</c:v>
                </c:pt>
                <c:pt idx="182">
                  <c:v>49596000</c:v>
                </c:pt>
                <c:pt idx="183">
                  <c:v>51506000</c:v>
                </c:pt>
                <c:pt idx="184">
                  <c:v>51333000</c:v>
                </c:pt>
                <c:pt idx="185">
                  <c:v>49687000</c:v>
                </c:pt>
                <c:pt idx="186">
                  <c:v>49913000</c:v>
                </c:pt>
                <c:pt idx="187">
                  <c:v>49362000</c:v>
                </c:pt>
                <c:pt idx="188">
                  <c:v>48911000</c:v>
                </c:pt>
                <c:pt idx="189">
                  <c:v>48971000</c:v>
                </c:pt>
                <c:pt idx="190">
                  <c:v>50690000</c:v>
                </c:pt>
                <c:pt idx="191">
                  <c:v>50482000</c:v>
                </c:pt>
                <c:pt idx="192">
                  <c:v>50705000</c:v>
                </c:pt>
                <c:pt idx="193">
                  <c:v>50350000</c:v>
                </c:pt>
                <c:pt idx="194">
                  <c:v>51749000</c:v>
                </c:pt>
                <c:pt idx="195">
                  <c:v>50470000</c:v>
                </c:pt>
                <c:pt idx="196">
                  <c:v>51466000</c:v>
                </c:pt>
                <c:pt idx="197">
                  <c:v>53210000</c:v>
                </c:pt>
                <c:pt idx="198">
                  <c:v>54336000</c:v>
                </c:pt>
                <c:pt idx="199">
                  <c:v>54931000</c:v>
                </c:pt>
                <c:pt idx="200">
                  <c:v>56081000</c:v>
                </c:pt>
                <c:pt idx="201">
                  <c:v>56245000</c:v>
                </c:pt>
                <c:pt idx="202">
                  <c:v>57912000</c:v>
                </c:pt>
                <c:pt idx="203">
                  <c:v>61924000</c:v>
                </c:pt>
                <c:pt idx="204">
                  <c:v>64686000</c:v>
                </c:pt>
                <c:pt idx="205">
                  <c:v>67257000</c:v>
                </c:pt>
                <c:pt idx="206">
                  <c:v>69417000</c:v>
                </c:pt>
                <c:pt idx="207">
                  <c:v>72399000</c:v>
                </c:pt>
                <c:pt idx="208">
                  <c:v>73693000</c:v>
                </c:pt>
                <c:pt idx="209">
                  <c:v>73176000</c:v>
                </c:pt>
                <c:pt idx="210">
                  <c:v>72863000</c:v>
                </c:pt>
                <c:pt idx="211">
                  <c:v>73573000</c:v>
                </c:pt>
                <c:pt idx="212">
                  <c:v>73331000</c:v>
                </c:pt>
                <c:pt idx="213">
                  <c:v>74575000</c:v>
                </c:pt>
                <c:pt idx="214">
                  <c:v>73347000</c:v>
                </c:pt>
                <c:pt idx="215">
                  <c:v>71223000</c:v>
                </c:pt>
                <c:pt idx="216">
                  <c:v>70382000</c:v>
                </c:pt>
                <c:pt idx="217">
                  <c:v>70521251</c:v>
                </c:pt>
                <c:pt idx="218">
                  <c:v>67526164</c:v>
                </c:pt>
                <c:pt idx="219">
                  <c:v>66086357</c:v>
                </c:pt>
                <c:pt idx="220">
                  <c:v>66425879</c:v>
                </c:pt>
                <c:pt idx="221">
                  <c:v>70051539</c:v>
                </c:pt>
                <c:pt idx="222">
                  <c:v>70293007</c:v>
                </c:pt>
                <c:pt idx="223">
                  <c:v>70860514</c:v>
                </c:pt>
                <c:pt idx="224">
                  <c:v>71089380</c:v>
                </c:pt>
                <c:pt idx="225">
                  <c:v>73325103</c:v>
                </c:pt>
                <c:pt idx="226">
                  <c:v>74062944</c:v>
                </c:pt>
                <c:pt idx="227">
                  <c:v>72931416</c:v>
                </c:pt>
                <c:pt idx="228">
                  <c:v>72238452</c:v>
                </c:pt>
                <c:pt idx="229">
                  <c:v>70713410</c:v>
                </c:pt>
                <c:pt idx="230">
                  <c:v>71855038</c:v>
                </c:pt>
                <c:pt idx="231">
                  <c:v>69896808</c:v>
                </c:pt>
                <c:pt idx="232">
                  <c:v>66553025</c:v>
                </c:pt>
                <c:pt idx="233">
                  <c:v>64597365</c:v>
                </c:pt>
                <c:pt idx="234">
                  <c:v>63134897</c:v>
                </c:pt>
                <c:pt idx="235">
                  <c:v>63121390</c:v>
                </c:pt>
                <c:pt idx="236">
                  <c:v>65238524</c:v>
                </c:pt>
                <c:pt idx="237">
                  <c:v>63941801</c:v>
                </c:pt>
                <c:pt idx="238">
                  <c:v>63445960</c:v>
                </c:pt>
                <c:pt idx="239">
                  <c:v>64693599</c:v>
                </c:pt>
                <c:pt idx="240">
                  <c:v>62769749</c:v>
                </c:pt>
                <c:pt idx="241">
                  <c:v>63136651</c:v>
                </c:pt>
                <c:pt idx="242">
                  <c:v>66760181</c:v>
                </c:pt>
                <c:pt idx="243">
                  <c:v>69218062</c:v>
                </c:pt>
                <c:pt idx="244">
                  <c:v>74947395</c:v>
                </c:pt>
                <c:pt idx="245">
                  <c:v>74944494</c:v>
                </c:pt>
                <c:pt idx="246">
                  <c:v>77873984</c:v>
                </c:pt>
                <c:pt idx="247">
                  <c:v>78271843</c:v>
                </c:pt>
                <c:pt idx="248">
                  <c:v>77910201</c:v>
                </c:pt>
                <c:pt idx="249">
                  <c:v>76839028</c:v>
                </c:pt>
                <c:pt idx="250">
                  <c:v>78957735</c:v>
                </c:pt>
                <c:pt idx="251">
                  <c:v>79337052</c:v>
                </c:pt>
                <c:pt idx="252">
                  <c:v>83653261</c:v>
                </c:pt>
                <c:pt idx="253">
                  <c:v>84434811</c:v>
                </c:pt>
                <c:pt idx="254">
                  <c:v>80577040</c:v>
                </c:pt>
                <c:pt idx="255">
                  <c:v>81662243</c:v>
                </c:pt>
                <c:pt idx="256">
                  <c:v>79656284</c:v>
                </c:pt>
                <c:pt idx="257">
                  <c:v>82786440</c:v>
                </c:pt>
                <c:pt idx="258">
                  <c:v>84997978</c:v>
                </c:pt>
                <c:pt idx="259">
                  <c:v>84416840</c:v>
                </c:pt>
                <c:pt idx="260">
                  <c:v>83477667</c:v>
                </c:pt>
                <c:pt idx="261">
                  <c:v>85615708</c:v>
                </c:pt>
                <c:pt idx="262">
                  <c:v>89929607</c:v>
                </c:pt>
                <c:pt idx="263">
                  <c:v>90845785</c:v>
                </c:pt>
                <c:pt idx="264">
                  <c:v>90597763</c:v>
                </c:pt>
                <c:pt idx="265">
                  <c:v>91431058</c:v>
                </c:pt>
                <c:pt idx="266">
                  <c:v>92964713</c:v>
                </c:pt>
                <c:pt idx="267">
                  <c:v>98959219</c:v>
                </c:pt>
                <c:pt idx="268">
                  <c:v>99642926</c:v>
                </c:pt>
                <c:pt idx="269">
                  <c:v>100899098</c:v>
                </c:pt>
                <c:pt idx="270">
                  <c:v>98768652</c:v>
                </c:pt>
                <c:pt idx="271">
                  <c:v>100424656</c:v>
                </c:pt>
                <c:pt idx="272">
                  <c:v>100886116</c:v>
                </c:pt>
                <c:pt idx="273">
                  <c:v>100966922</c:v>
                </c:pt>
                <c:pt idx="274">
                  <c:v>99343452</c:v>
                </c:pt>
                <c:pt idx="275">
                  <c:v>99040974</c:v>
                </c:pt>
                <c:pt idx="276">
                  <c:v>100995552</c:v>
                </c:pt>
                <c:pt idx="277">
                  <c:v>103530632</c:v>
                </c:pt>
                <c:pt idx="278">
                  <c:v>102918380</c:v>
                </c:pt>
                <c:pt idx="279">
                  <c:v>98198343</c:v>
                </c:pt>
                <c:pt idx="280">
                  <c:v>97658392</c:v>
                </c:pt>
                <c:pt idx="281">
                  <c:v>94467141</c:v>
                </c:pt>
                <c:pt idx="282">
                  <c:v>97128354</c:v>
                </c:pt>
                <c:pt idx="283">
                  <c:v>102526220</c:v>
                </c:pt>
                <c:pt idx="284">
                  <c:v>102787593</c:v>
                </c:pt>
                <c:pt idx="285">
                  <c:v>104646841</c:v>
                </c:pt>
                <c:pt idx="286">
                  <c:v>103421299</c:v>
                </c:pt>
                <c:pt idx="287">
                  <c:v>104165316</c:v>
                </c:pt>
                <c:pt idx="288">
                  <c:v>104189562</c:v>
                </c:pt>
                <c:pt idx="289">
                  <c:v>100998418</c:v>
                </c:pt>
                <c:pt idx="290">
                  <c:v>104557546</c:v>
                </c:pt>
                <c:pt idx="291">
                  <c:v>104793204</c:v>
                </c:pt>
                <c:pt idx="292">
                  <c:v>104964933</c:v>
                </c:pt>
                <c:pt idx="293">
                  <c:v>108269066</c:v>
                </c:pt>
                <c:pt idx="294">
                  <c:v>108858422</c:v>
                </c:pt>
                <c:pt idx="295">
                  <c:v>105152062</c:v>
                </c:pt>
                <c:pt idx="296">
                  <c:v>107511037</c:v>
                </c:pt>
                <c:pt idx="297">
                  <c:v>108008847</c:v>
                </c:pt>
                <c:pt idx="298">
                  <c:v>108764597</c:v>
                </c:pt>
                <c:pt idx="299">
                  <c:v>113521882</c:v>
                </c:pt>
                <c:pt idx="300">
                  <c:v>114279470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62-4615-9F09-77A75297E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365544"/>
        <c:axId val="452362592"/>
      </c:lineChart>
      <c:lineChart>
        <c:grouping val="standard"/>
        <c:varyColors val="0"/>
        <c:ser>
          <c:idx val="2"/>
          <c:order val="2"/>
          <c:tx>
            <c:strRef>
              <c:f>Data!$D$6</c:f>
              <c:strCache>
                <c:ptCount val="1"/>
                <c:pt idx="0">
                  <c:v>O/S-Ratio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Data!$A$7:$A$307</c:f>
              <c:numCache>
                <c:formatCode>mmm\-yy</c:formatCode>
                <c:ptCount val="301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</c:numRef>
          </c:cat>
          <c:val>
            <c:numRef>
              <c:f>Data!$D$7:$D$307</c:f>
              <c:numCache>
                <c:formatCode>0.00</c:formatCode>
                <c:ptCount val="301"/>
                <c:pt idx="11">
                  <c:v>1.0335246458224554</c:v>
                </c:pt>
                <c:pt idx="12">
                  <c:v>1.0388079987197361</c:v>
                </c:pt>
                <c:pt idx="13">
                  <c:v>1.0402508891136517</c:v>
                </c:pt>
                <c:pt idx="14">
                  <c:v>1.0686394733248161</c:v>
                </c:pt>
                <c:pt idx="15">
                  <c:v>1.0617754569267486</c:v>
                </c:pt>
                <c:pt idx="16">
                  <c:v>1.1023716150572245</c:v>
                </c:pt>
                <c:pt idx="17">
                  <c:v>1.0327889174000111</c:v>
                </c:pt>
                <c:pt idx="18">
                  <c:v>0.99420638711046172</c:v>
                </c:pt>
                <c:pt idx="19">
                  <c:v>0.99757442279863118</c:v>
                </c:pt>
                <c:pt idx="20">
                  <c:v>1.0126604935176389</c:v>
                </c:pt>
                <c:pt idx="21">
                  <c:v>0.96933642212938009</c:v>
                </c:pt>
                <c:pt idx="22">
                  <c:v>1.0213551869204824</c:v>
                </c:pt>
                <c:pt idx="23">
                  <c:v>1.0368149939093489</c:v>
                </c:pt>
                <c:pt idx="24">
                  <c:v>1.032165609885096</c:v>
                </c:pt>
                <c:pt idx="25">
                  <c:v>0.98770743320966747</c:v>
                </c:pt>
                <c:pt idx="26">
                  <c:v>0.98636139780050547</c:v>
                </c:pt>
                <c:pt idx="27">
                  <c:v>1.0023337548716271</c:v>
                </c:pt>
                <c:pt idx="28">
                  <c:v>0.97133658473235807</c:v>
                </c:pt>
                <c:pt idx="29">
                  <c:v>1.0592425774785077</c:v>
                </c:pt>
                <c:pt idx="30">
                  <c:v>1.0266134003100171</c:v>
                </c:pt>
                <c:pt idx="31">
                  <c:v>1.0064243731986813</c:v>
                </c:pt>
                <c:pt idx="32">
                  <c:v>0.97364624664097121</c:v>
                </c:pt>
                <c:pt idx="33">
                  <c:v>0.99094973497619443</c:v>
                </c:pt>
                <c:pt idx="34">
                  <c:v>0.98215661761191997</c:v>
                </c:pt>
                <c:pt idx="35">
                  <c:v>0.94733896123844197</c:v>
                </c:pt>
                <c:pt idx="36">
                  <c:v>0.99563258876281224</c:v>
                </c:pt>
                <c:pt idx="37">
                  <c:v>1.0195508920473841</c:v>
                </c:pt>
                <c:pt idx="38">
                  <c:v>1.0155533972619255</c:v>
                </c:pt>
                <c:pt idx="39">
                  <c:v>1.0298636380014266</c:v>
                </c:pt>
                <c:pt idx="40">
                  <c:v>1.008494090735244</c:v>
                </c:pt>
                <c:pt idx="41">
                  <c:v>0.93778560598343408</c:v>
                </c:pt>
                <c:pt idx="42">
                  <c:v>0.98325054193869599</c:v>
                </c:pt>
                <c:pt idx="43">
                  <c:v>1.0345635416635675</c:v>
                </c:pt>
                <c:pt idx="44">
                  <c:v>1.0247000911587405</c:v>
                </c:pt>
                <c:pt idx="45">
                  <c:v>1.0380449796160323</c:v>
                </c:pt>
                <c:pt idx="46">
                  <c:v>1.058962240942992</c:v>
                </c:pt>
                <c:pt idx="47">
                  <c:v>1.0514125012093745</c:v>
                </c:pt>
                <c:pt idx="48">
                  <c:v>1.006637480860993</c:v>
                </c:pt>
                <c:pt idx="49">
                  <c:v>1.0156925500465228</c:v>
                </c:pt>
                <c:pt idx="50">
                  <c:v>0.99446103544847408</c:v>
                </c:pt>
                <c:pt idx="51">
                  <c:v>0.9669245652995585</c:v>
                </c:pt>
                <c:pt idx="52">
                  <c:v>0.99636655939715757</c:v>
                </c:pt>
                <c:pt idx="53">
                  <c:v>1.0219308561760356</c:v>
                </c:pt>
                <c:pt idx="54">
                  <c:v>1.0220569316532635</c:v>
                </c:pt>
                <c:pt idx="55">
                  <c:v>0.98567899406644954</c:v>
                </c:pt>
                <c:pt idx="56">
                  <c:v>1.0350876556770396</c:v>
                </c:pt>
                <c:pt idx="57">
                  <c:v>1.002036856870633</c:v>
                </c:pt>
                <c:pt idx="58">
                  <c:v>0.9997664718310727</c:v>
                </c:pt>
                <c:pt idx="59">
                  <c:v>1.0008280306504991</c:v>
                </c:pt>
                <c:pt idx="60">
                  <c:v>1.0066654935667105</c:v>
                </c:pt>
                <c:pt idx="61">
                  <c:v>0.98066883034123109</c:v>
                </c:pt>
                <c:pt idx="62">
                  <c:v>0.99792855243351108</c:v>
                </c:pt>
                <c:pt idx="63">
                  <c:v>1.0027040821599613</c:v>
                </c:pt>
                <c:pt idx="64">
                  <c:v>0.96219183109155382</c:v>
                </c:pt>
                <c:pt idx="65">
                  <c:v>1.0010301243761957</c:v>
                </c:pt>
                <c:pt idx="66">
                  <c:v>1.0122943954104335</c:v>
                </c:pt>
                <c:pt idx="67">
                  <c:v>1.0276317286292374</c:v>
                </c:pt>
                <c:pt idx="68">
                  <c:v>1.0083302047769855</c:v>
                </c:pt>
                <c:pt idx="69">
                  <c:v>1.0486658331408967</c:v>
                </c:pt>
                <c:pt idx="70">
                  <c:v>1.0017356460309943</c:v>
                </c:pt>
                <c:pt idx="71">
                  <c:v>0.96365326045659538</c:v>
                </c:pt>
                <c:pt idx="72">
                  <c:v>0.95158707236347029</c:v>
                </c:pt>
                <c:pt idx="73">
                  <c:v>0.98219748500191384</c:v>
                </c:pt>
                <c:pt idx="74">
                  <c:v>0.98306958053257643</c:v>
                </c:pt>
                <c:pt idx="75">
                  <c:v>0.98855256077803322</c:v>
                </c:pt>
                <c:pt idx="76">
                  <c:v>1.015300007043201</c:v>
                </c:pt>
                <c:pt idx="77">
                  <c:v>1.051720923640042</c:v>
                </c:pt>
                <c:pt idx="78">
                  <c:v>1.0684648513255222</c:v>
                </c:pt>
                <c:pt idx="79">
                  <c:v>1.0685577308988445</c:v>
                </c:pt>
                <c:pt idx="80">
                  <c:v>1.039747759343193</c:v>
                </c:pt>
                <c:pt idx="81">
                  <c:v>1.0127456758076465</c:v>
                </c:pt>
                <c:pt idx="82">
                  <c:v>1.0341280508229678</c:v>
                </c:pt>
                <c:pt idx="83">
                  <c:v>1.0418150385901297</c:v>
                </c:pt>
                <c:pt idx="84">
                  <c:v>1.0574134446608778</c:v>
                </c:pt>
                <c:pt idx="85">
                  <c:v>1.0124222006474703</c:v>
                </c:pt>
                <c:pt idx="86">
                  <c:v>1.0238279329594371</c:v>
                </c:pt>
                <c:pt idx="87">
                  <c:v>1.0391985118863269</c:v>
                </c:pt>
                <c:pt idx="88">
                  <c:v>1.0100064714254358</c:v>
                </c:pt>
                <c:pt idx="89">
                  <c:v>0.96932610177003642</c:v>
                </c:pt>
                <c:pt idx="90">
                  <c:v>0.95791392263106168</c:v>
                </c:pt>
                <c:pt idx="91">
                  <c:v>0.93513384175965786</c:v>
                </c:pt>
                <c:pt idx="92">
                  <c:v>0.93648759529628389</c:v>
                </c:pt>
                <c:pt idx="93">
                  <c:v>0.95861058756779161</c:v>
                </c:pt>
                <c:pt idx="94">
                  <c:v>0.92533474961667528</c:v>
                </c:pt>
                <c:pt idx="95">
                  <c:v>0.95747602091190065</c:v>
                </c:pt>
                <c:pt idx="96">
                  <c:v>0.93367315162002618</c:v>
                </c:pt>
                <c:pt idx="97">
                  <c:v>0.97178848936544293</c:v>
                </c:pt>
                <c:pt idx="98">
                  <c:v>0.93045626593179043</c:v>
                </c:pt>
                <c:pt idx="99">
                  <c:v>0.89712960339373826</c:v>
                </c:pt>
                <c:pt idx="100">
                  <c:v>0.91529814122537467</c:v>
                </c:pt>
                <c:pt idx="101">
                  <c:v>0.87948686484454563</c:v>
                </c:pt>
                <c:pt idx="102">
                  <c:v>0.85910001726319218</c:v>
                </c:pt>
                <c:pt idx="103">
                  <c:v>0.88603579062018101</c:v>
                </c:pt>
                <c:pt idx="104">
                  <c:v>0.88022946097396915</c:v>
                </c:pt>
                <c:pt idx="105">
                  <c:v>0.84728175961697738</c:v>
                </c:pt>
                <c:pt idx="106">
                  <c:v>0.91413630009121594</c:v>
                </c:pt>
                <c:pt idx="107">
                  <c:v>0.93912974829638385</c:v>
                </c:pt>
                <c:pt idx="108">
                  <c:v>0.95342530021406902</c:v>
                </c:pt>
                <c:pt idx="109">
                  <c:v>0.9712587780775841</c:v>
                </c:pt>
                <c:pt idx="110">
                  <c:v>1.0228590970863414</c:v>
                </c:pt>
                <c:pt idx="111">
                  <c:v>1.0701869038344864</c:v>
                </c:pt>
                <c:pt idx="112">
                  <c:v>1.0654956665573467</c:v>
                </c:pt>
                <c:pt idx="113">
                  <c:v>1.0892656852122062</c:v>
                </c:pt>
                <c:pt idx="114">
                  <c:v>1.0877160409087907</c:v>
                </c:pt>
                <c:pt idx="115">
                  <c:v>1.0050887877754962</c:v>
                </c:pt>
                <c:pt idx="116">
                  <c:v>1.0392914508200686</c:v>
                </c:pt>
                <c:pt idx="117">
                  <c:v>1.0500393511370203</c:v>
                </c:pt>
                <c:pt idx="118">
                  <c:v>1.0498006049685542</c:v>
                </c:pt>
                <c:pt idx="119">
                  <c:v>1.046989612979546</c:v>
                </c:pt>
                <c:pt idx="120">
                  <c:v>1.0738596832415324</c:v>
                </c:pt>
                <c:pt idx="121">
                  <c:v>1.0372598255095717</c:v>
                </c:pt>
                <c:pt idx="122">
                  <c:v>1.0759417091561669</c:v>
                </c:pt>
                <c:pt idx="123">
                  <c:v>1.0440829985783597</c:v>
                </c:pt>
                <c:pt idx="124">
                  <c:v>1.0549795270081512</c:v>
                </c:pt>
                <c:pt idx="125">
                  <c:v>1.0720954622977783</c:v>
                </c:pt>
                <c:pt idx="126">
                  <c:v>1.0621534737936404</c:v>
                </c:pt>
                <c:pt idx="127">
                  <c:v>1.1098791142872821</c:v>
                </c:pt>
                <c:pt idx="128">
                  <c:v>1.104937454247761</c:v>
                </c:pt>
                <c:pt idx="129">
                  <c:v>1.0772923190203509</c:v>
                </c:pt>
                <c:pt idx="130">
                  <c:v>1.0584698545400402</c:v>
                </c:pt>
                <c:pt idx="131">
                  <c:v>1.0471074432187724</c:v>
                </c:pt>
                <c:pt idx="132">
                  <c:v>1.0234030269447796</c:v>
                </c:pt>
                <c:pt idx="133">
                  <c:v>0.99130163810858529</c:v>
                </c:pt>
                <c:pt idx="134">
                  <c:v>0.95926732757021083</c:v>
                </c:pt>
                <c:pt idx="135">
                  <c:v>0.95751076439206961</c:v>
                </c:pt>
                <c:pt idx="136">
                  <c:v>0.94585373847221244</c:v>
                </c:pt>
                <c:pt idx="137">
                  <c:v>0.94071944723627365</c:v>
                </c:pt>
                <c:pt idx="138">
                  <c:v>0.95475678059198588</c:v>
                </c:pt>
                <c:pt idx="139">
                  <c:v>0.93890620874249098</c:v>
                </c:pt>
                <c:pt idx="140">
                  <c:v>0.90665461199574215</c:v>
                </c:pt>
                <c:pt idx="141">
                  <c:v>0.91418694124978039</c:v>
                </c:pt>
                <c:pt idx="142">
                  <c:v>0.89997230918137916</c:v>
                </c:pt>
                <c:pt idx="143">
                  <c:v>0.89743040632042237</c:v>
                </c:pt>
                <c:pt idx="144">
                  <c:v>0.92217024286250304</c:v>
                </c:pt>
                <c:pt idx="145">
                  <c:v>0.94229360460030631</c:v>
                </c:pt>
                <c:pt idx="146">
                  <c:v>0.92319238130624526</c:v>
                </c:pt>
                <c:pt idx="147">
                  <c:v>0.93213411159668613</c:v>
                </c:pt>
                <c:pt idx="148">
                  <c:v>0.93598747969418816</c:v>
                </c:pt>
                <c:pt idx="149">
                  <c:v>0.94365296899369022</c:v>
                </c:pt>
                <c:pt idx="150">
                  <c:v>0.93725749049408891</c:v>
                </c:pt>
                <c:pt idx="151">
                  <c:v>0.97920818821787881</c:v>
                </c:pt>
                <c:pt idx="152">
                  <c:v>1.0515348227885688</c:v>
                </c:pt>
                <c:pt idx="153">
                  <c:v>1.0010811792326486</c:v>
                </c:pt>
                <c:pt idx="154">
                  <c:v>1.046434492670514</c:v>
                </c:pt>
                <c:pt idx="155">
                  <c:v>1.0423407237750639</c:v>
                </c:pt>
                <c:pt idx="156">
                  <c:v>1.0088864929239543</c:v>
                </c:pt>
                <c:pt idx="157">
                  <c:v>1.0150287551417301</c:v>
                </c:pt>
                <c:pt idx="158">
                  <c:v>1.0519948252853366</c:v>
                </c:pt>
                <c:pt idx="159">
                  <c:v>1.0384160944175271</c:v>
                </c:pt>
                <c:pt idx="160">
                  <c:v>1.0145878794287511</c:v>
                </c:pt>
                <c:pt idx="161">
                  <c:v>1.0009365076062349</c:v>
                </c:pt>
                <c:pt idx="162">
                  <c:v>0.97014916643903748</c:v>
                </c:pt>
                <c:pt idx="163">
                  <c:v>0.95549283435021271</c:v>
                </c:pt>
                <c:pt idx="164">
                  <c:v>0.92634039945199376</c:v>
                </c:pt>
                <c:pt idx="165">
                  <c:v>0.9627964941671604</c:v>
                </c:pt>
                <c:pt idx="166">
                  <c:v>0.95885730751023934</c:v>
                </c:pt>
                <c:pt idx="167">
                  <c:v>0.96064008523542188</c:v>
                </c:pt>
                <c:pt idx="168">
                  <c:v>0.98641247543793642</c:v>
                </c:pt>
                <c:pt idx="169">
                  <c:v>1.02681830650096</c:v>
                </c:pt>
                <c:pt idx="170">
                  <c:v>1.0227806633763659</c:v>
                </c:pt>
                <c:pt idx="171">
                  <c:v>1.0112646765738054</c:v>
                </c:pt>
                <c:pt idx="172">
                  <c:v>1.0010483938606056</c:v>
                </c:pt>
                <c:pt idx="173">
                  <c:v>1.0202807467284116</c:v>
                </c:pt>
                <c:pt idx="174">
                  <c:v>1.0411427611830644</c:v>
                </c:pt>
                <c:pt idx="175">
                  <c:v>1.0290740390872641</c:v>
                </c:pt>
                <c:pt idx="176">
                  <c:v>1.0146566506083123</c:v>
                </c:pt>
                <c:pt idx="177">
                  <c:v>1.0242729193921707</c:v>
                </c:pt>
                <c:pt idx="178">
                  <c:v>0.97624467979807983</c:v>
                </c:pt>
                <c:pt idx="179">
                  <c:v>0.98516866244032242</c:v>
                </c:pt>
                <c:pt idx="180">
                  <c:v>0.98204618382975373</c:v>
                </c:pt>
                <c:pt idx="181">
                  <c:v>0.97102452531645567</c:v>
                </c:pt>
                <c:pt idx="182">
                  <c:v>0.96114416387279311</c:v>
                </c:pt>
                <c:pt idx="183">
                  <c:v>1.014237047830967</c:v>
                </c:pt>
                <c:pt idx="184">
                  <c:v>1.0505494955283139</c:v>
                </c:pt>
                <c:pt idx="185">
                  <c:v>0.97457976188141149</c:v>
                </c:pt>
                <c:pt idx="186">
                  <c:v>0.97423535611812695</c:v>
                </c:pt>
                <c:pt idx="187">
                  <c:v>0.96778747181648861</c:v>
                </c:pt>
                <c:pt idx="188">
                  <c:v>0.96679251250222376</c:v>
                </c:pt>
                <c:pt idx="189">
                  <c:v>0.98535181794402305</c:v>
                </c:pt>
                <c:pt idx="190">
                  <c:v>1.013881110488839</c:v>
                </c:pt>
                <c:pt idx="191">
                  <c:v>0.99554310956850989</c:v>
                </c:pt>
                <c:pt idx="192">
                  <c:v>0.97933365523901494</c:v>
                </c:pt>
                <c:pt idx="193">
                  <c:v>0.96104292722032414</c:v>
                </c:pt>
                <c:pt idx="194">
                  <c:v>0.99582419274140788</c:v>
                </c:pt>
                <c:pt idx="195">
                  <c:v>0.97738099848948445</c:v>
                </c:pt>
                <c:pt idx="196">
                  <c:v>0.9636744935026027</c:v>
                </c:pt>
                <c:pt idx="197">
                  <c:v>1.0268830692629831</c:v>
                </c:pt>
                <c:pt idx="198">
                  <c:v>1.0477035208823415</c:v>
                </c:pt>
                <c:pt idx="199">
                  <c:v>1.0228855536106662</c:v>
                </c:pt>
                <c:pt idx="200">
                  <c:v>1.0086692206694365</c:v>
                </c:pt>
                <c:pt idx="201">
                  <c:v>1.0012995798618529</c:v>
                </c:pt>
                <c:pt idx="202">
                  <c:v>1.0314353393769926</c:v>
                </c:pt>
                <c:pt idx="203">
                  <c:v>1.0627445596210614</c:v>
                </c:pt>
                <c:pt idx="204">
                  <c:v>1.0697382129686286</c:v>
                </c:pt>
                <c:pt idx="205">
                  <c:v>1.0910373915159379</c:v>
                </c:pt>
                <c:pt idx="206">
                  <c:v>1.1071115293217013</c:v>
                </c:pt>
                <c:pt idx="207">
                  <c:v>1.0773340079164311</c:v>
                </c:pt>
                <c:pt idx="208">
                  <c:v>1.0860364011495101</c:v>
                </c:pt>
                <c:pt idx="209">
                  <c:v>1.050338026956035</c:v>
                </c:pt>
                <c:pt idx="210">
                  <c:v>0.97259597415772336</c:v>
                </c:pt>
                <c:pt idx="211">
                  <c:v>0.97909347386351542</c:v>
                </c:pt>
                <c:pt idx="212">
                  <c:v>0.98457303974221266</c:v>
                </c:pt>
                <c:pt idx="213">
                  <c:v>0.97740468420293847</c:v>
                </c:pt>
                <c:pt idx="214">
                  <c:v>0.9591353698085574</c:v>
                </c:pt>
                <c:pt idx="215">
                  <c:v>0.95745281497015644</c:v>
                </c:pt>
                <c:pt idx="216">
                  <c:v>0.95071805675401277</c:v>
                </c:pt>
                <c:pt idx="217">
                  <c:v>0.95909880638245271</c:v>
                </c:pt>
                <c:pt idx="218">
                  <c:v>0.90750408746100131</c:v>
                </c:pt>
                <c:pt idx="219">
                  <c:v>0.90148089050487501</c:v>
                </c:pt>
                <c:pt idx="220">
                  <c:v>0.89938555008955423</c:v>
                </c:pt>
                <c:pt idx="221">
                  <c:v>0.9600850497428941</c:v>
                </c:pt>
                <c:pt idx="222">
                  <c:v>1.0187511763724881</c:v>
                </c:pt>
                <c:pt idx="223">
                  <c:v>1.0265258230142957</c:v>
                </c:pt>
                <c:pt idx="224">
                  <c:v>0.9964838070459715</c:v>
                </c:pt>
                <c:pt idx="225">
                  <c:v>1.0456865181541477</c:v>
                </c:pt>
                <c:pt idx="226">
                  <c:v>1.0344364826077022</c:v>
                </c:pt>
                <c:pt idx="227">
                  <c:v>1.0213867339186284</c:v>
                </c:pt>
                <c:pt idx="228">
                  <c:v>0.99709307461507846</c:v>
                </c:pt>
                <c:pt idx="229">
                  <c:v>0.98379746597346263</c:v>
                </c:pt>
                <c:pt idx="230">
                  <c:v>0.95641409446028025</c:v>
                </c:pt>
                <c:pt idx="231">
                  <c:v>0.94959131269305752</c:v>
                </c:pt>
                <c:pt idx="232">
                  <c:v>0.93674528926505751</c:v>
                </c:pt>
                <c:pt idx="233">
                  <c:v>0.93111768733796219</c:v>
                </c:pt>
                <c:pt idx="234">
                  <c:v>0.93092058161789293</c:v>
                </c:pt>
                <c:pt idx="235">
                  <c:v>0.95941422181402414</c:v>
                </c:pt>
                <c:pt idx="236">
                  <c:v>1.0007164395998283</c:v>
                </c:pt>
                <c:pt idx="237">
                  <c:v>0.97074860371903138</c:v>
                </c:pt>
                <c:pt idx="238">
                  <c:v>0.9668742274228721</c:v>
                </c:pt>
                <c:pt idx="239">
                  <c:v>0.92079955969185545</c:v>
                </c:pt>
                <c:pt idx="240">
                  <c:v>0.92676389217173416</c:v>
                </c:pt>
                <c:pt idx="241">
                  <c:v>0.93883400980352916</c:v>
                </c:pt>
                <c:pt idx="242">
                  <c:v>1.0231990599713643</c:v>
                </c:pt>
                <c:pt idx="243">
                  <c:v>1.0389615329257433</c:v>
                </c:pt>
                <c:pt idx="244">
                  <c:v>1.0863631622450705</c:v>
                </c:pt>
                <c:pt idx="245">
                  <c:v>1.0480025756887548</c:v>
                </c:pt>
                <c:pt idx="246">
                  <c:v>1.0639393032298681</c:v>
                </c:pt>
                <c:pt idx="247">
                  <c:v>1.0313345581861251</c:v>
                </c:pt>
                <c:pt idx="248">
                  <c:v>1.015055285649318</c:v>
                </c:pt>
                <c:pt idx="249">
                  <c:v>0.97827927716010843</c:v>
                </c:pt>
                <c:pt idx="250">
                  <c:v>0.99267454069412897</c:v>
                </c:pt>
                <c:pt idx="251">
                  <c:v>1.0337098614399465</c:v>
                </c:pt>
                <c:pt idx="252">
                  <c:v>1.0676926897669685</c:v>
                </c:pt>
                <c:pt idx="253">
                  <c:v>1.0509018228977476</c:v>
                </c:pt>
                <c:pt idx="254">
                  <c:v>0.98742082834759204</c:v>
                </c:pt>
                <c:pt idx="255">
                  <c:v>1.0222287973871118</c:v>
                </c:pt>
                <c:pt idx="256">
                  <c:v>1.000352249425094</c:v>
                </c:pt>
                <c:pt idx="257">
                  <c:v>1.0473118520886648</c:v>
                </c:pt>
                <c:pt idx="258">
                  <c:v>1.0387439951836328</c:v>
                </c:pt>
                <c:pt idx="259">
                  <c:v>1.0187558992181232</c:v>
                </c:pt>
                <c:pt idx="260">
                  <c:v>1.0314527624925418</c:v>
                </c:pt>
                <c:pt idx="261">
                  <c:v>1.0336044900426675</c:v>
                </c:pt>
                <c:pt idx="262">
                  <c:v>1.0643103177460089</c:v>
                </c:pt>
                <c:pt idx="263">
                  <c:v>1.0643581072175263</c:v>
                </c:pt>
                <c:pt idx="264">
                  <c:v>1.051417622157319</c:v>
                </c:pt>
                <c:pt idx="265">
                  <c:v>1.0553716984074621</c:v>
                </c:pt>
                <c:pt idx="266">
                  <c:v>1.0690532200174436</c:v>
                </c:pt>
                <c:pt idx="267">
                  <c:v>1.1151315599686786</c:v>
                </c:pt>
                <c:pt idx="268">
                  <c:v>1.1036328068500048</c:v>
                </c:pt>
                <c:pt idx="269">
                  <c:v>1.0426197844959006</c:v>
                </c:pt>
                <c:pt idx="270">
                  <c:v>1.0527726521724921</c:v>
                </c:pt>
                <c:pt idx="271">
                  <c:v>1.0718255923264175</c:v>
                </c:pt>
                <c:pt idx="272">
                  <c:v>1.0538187651703803</c:v>
                </c:pt>
                <c:pt idx="273">
                  <c:v>1.0488514139970262</c:v>
                </c:pt>
                <c:pt idx="274">
                  <c:v>0.95421975238099044</c:v>
                </c:pt>
                <c:pt idx="275">
                  <c:v>0.9480007283376618</c:v>
                </c:pt>
                <c:pt idx="276">
                  <c:v>0.9486503745727809</c:v>
                </c:pt>
                <c:pt idx="277">
                  <c:v>0.94326037831771681</c:v>
                </c:pt>
                <c:pt idx="278">
                  <c:v>0.94012863010962977</c:v>
                </c:pt>
                <c:pt idx="279">
                  <c:v>0.89126784472904608</c:v>
                </c:pt>
                <c:pt idx="280">
                  <c:v>0.89176687558943213</c:v>
                </c:pt>
                <c:pt idx="281">
                  <c:v>0.89614563468482833</c:v>
                </c:pt>
                <c:pt idx="282">
                  <c:v>0.90225556659920547</c:v>
                </c:pt>
                <c:pt idx="283">
                  <c:v>0.92815999479132139</c:v>
                </c:pt>
                <c:pt idx="284">
                  <c:v>0.93400385397605912</c:v>
                </c:pt>
                <c:pt idx="285">
                  <c:v>0.96211665986774886</c:v>
                </c:pt>
                <c:pt idx="286">
                  <c:v>0.99638874793148602</c:v>
                </c:pt>
                <c:pt idx="287">
                  <c:v>0.97402508837522139</c:v>
                </c:pt>
                <c:pt idx="288">
                  <c:v>0.98655575179334654</c:v>
                </c:pt>
                <c:pt idx="289">
                  <c:v>0.96510697585279814</c:v>
                </c:pt>
                <c:pt idx="290">
                  <c:v>1.0026240772340911</c:v>
                </c:pt>
                <c:pt idx="291">
                  <c:v>0.97348652694594096</c:v>
                </c:pt>
                <c:pt idx="292">
                  <c:v>0.97548471928442559</c:v>
                </c:pt>
                <c:pt idx="293">
                  <c:v>1.0073921654936948</c:v>
                </c:pt>
                <c:pt idx="294">
                  <c:v>1.0173618027927425</c:v>
                </c:pt>
                <c:pt idx="295">
                  <c:v>0.98982403655298123</c:v>
                </c:pt>
                <c:pt idx="296">
                  <c:v>1.0041932111122458</c:v>
                </c:pt>
                <c:pt idx="297">
                  <c:v>1.0043728672482657</c:v>
                </c:pt>
                <c:pt idx="298">
                  <c:v>1.0339628563117509</c:v>
                </c:pt>
                <c:pt idx="299">
                  <c:v>1.0690482001282309</c:v>
                </c:pt>
                <c:pt idx="300">
                  <c:v>1.0587270600931837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62-4615-9F09-77A75297E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751376"/>
        <c:axId val="506748496"/>
      </c:lineChart>
      <c:dateAx>
        <c:axId val="4523655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52362592"/>
        <c:crosses val="autoZero"/>
        <c:auto val="1"/>
        <c:lblOffset val="100"/>
        <c:baseTimeUnit val="months"/>
      </c:dateAx>
      <c:valAx>
        <c:axId val="45236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_);\(&quot;k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52365544"/>
        <c:crosses val="autoZero"/>
        <c:crossBetween val="between"/>
      </c:valAx>
      <c:valAx>
        <c:axId val="5067484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06751376"/>
        <c:crosses val="max"/>
        <c:crossBetween val="between"/>
      </c:valAx>
      <c:dateAx>
        <c:axId val="50675137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0674849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Data!$A$133:$A$287</c:f>
              <c:numCache>
                <c:formatCode>mmm\-yy</c:formatCode>
                <c:ptCount val="155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</c:numCache>
            </c:numRef>
          </c:cat>
          <c:val>
            <c:numRef>
              <c:f>Data!$B$133:$B$287</c:f>
              <c:numCache>
                <c:formatCode>"kr"#,##0_);\("kr"#,##0\)</c:formatCode>
                <c:ptCount val="155"/>
                <c:pt idx="0">
                  <c:v>44317716</c:v>
                </c:pt>
                <c:pt idx="1">
                  <c:v>43773742</c:v>
                </c:pt>
                <c:pt idx="2">
                  <c:v>44157675</c:v>
                </c:pt>
                <c:pt idx="3">
                  <c:v>45697348</c:v>
                </c:pt>
                <c:pt idx="4">
                  <c:v>47986745</c:v>
                </c:pt>
                <c:pt idx="5">
                  <c:v>49088803</c:v>
                </c:pt>
                <c:pt idx="6">
                  <c:v>50786721</c:v>
                </c:pt>
                <c:pt idx="7">
                  <c:v>51284024</c:v>
                </c:pt>
                <c:pt idx="8">
                  <c:v>50454362</c:v>
                </c:pt>
                <c:pt idx="9">
                  <c:v>50090381</c:v>
                </c:pt>
                <c:pt idx="10">
                  <c:v>51095993</c:v>
                </c:pt>
                <c:pt idx="11">
                  <c:v>49831924</c:v>
                </c:pt>
                <c:pt idx="12">
                  <c:v>49270698</c:v>
                </c:pt>
                <c:pt idx="13">
                  <c:v>49153931</c:v>
                </c:pt>
                <c:pt idx="14">
                  <c:v>49579675</c:v>
                </c:pt>
                <c:pt idx="15">
                  <c:v>48437453</c:v>
                </c:pt>
                <c:pt idx="16">
                  <c:v>47575336</c:v>
                </c:pt>
                <c:pt idx="17">
                  <c:v>46303235</c:v>
                </c:pt>
                <c:pt idx="18">
                  <c:v>45317988</c:v>
                </c:pt>
                <c:pt idx="19">
                  <c:v>44595203.4428</c:v>
                </c:pt>
                <c:pt idx="20">
                  <c:v>46051462.144699998</c:v>
                </c:pt>
                <c:pt idx="21">
                  <c:v>46423943.144699998</c:v>
                </c:pt>
                <c:pt idx="22">
                  <c:v>44492798.144699998</c:v>
                </c:pt>
                <c:pt idx="23">
                  <c:v>44921198.144699998</c:v>
                </c:pt>
                <c:pt idx="24">
                  <c:v>44759114.144699998</c:v>
                </c:pt>
                <c:pt idx="25">
                  <c:v>44549756.144699998</c:v>
                </c:pt>
                <c:pt idx="26">
                  <c:v>43845321.144699998</c:v>
                </c:pt>
                <c:pt idx="27">
                  <c:v>45192188.144699998</c:v>
                </c:pt>
                <c:pt idx="28">
                  <c:v>44913118.144699998</c:v>
                </c:pt>
                <c:pt idx="29">
                  <c:v>45109641.144699998</c:v>
                </c:pt>
                <c:pt idx="30">
                  <c:v>46572462.144699998</c:v>
                </c:pt>
                <c:pt idx="31">
                  <c:v>47004378.701899998</c:v>
                </c:pt>
                <c:pt idx="32">
                  <c:v>47028680</c:v>
                </c:pt>
                <c:pt idx="33">
                  <c:v>47961773</c:v>
                </c:pt>
                <c:pt idx="34">
                  <c:v>49355083</c:v>
                </c:pt>
                <c:pt idx="35">
                  <c:v>48973441</c:v>
                </c:pt>
                <c:pt idx="36">
                  <c:v>49755629</c:v>
                </c:pt>
                <c:pt idx="37">
                  <c:v>49970695</c:v>
                </c:pt>
                <c:pt idx="38">
                  <c:v>50138841</c:v>
                </c:pt>
                <c:pt idx="39">
                  <c:v>48947000</c:v>
                </c:pt>
                <c:pt idx="40">
                  <c:v>48587000</c:v>
                </c:pt>
                <c:pt idx="41">
                  <c:v>48806000</c:v>
                </c:pt>
                <c:pt idx="42">
                  <c:v>47838000</c:v>
                </c:pt>
                <c:pt idx="43">
                  <c:v>47393000</c:v>
                </c:pt>
                <c:pt idx="44">
                  <c:v>46399000</c:v>
                </c:pt>
                <c:pt idx="45">
                  <c:v>46162000</c:v>
                </c:pt>
                <c:pt idx="46">
                  <c:v>47692000</c:v>
                </c:pt>
                <c:pt idx="47">
                  <c:v>48371000</c:v>
                </c:pt>
                <c:pt idx="48">
                  <c:v>47639000</c:v>
                </c:pt>
                <c:pt idx="49">
                  <c:v>47637000</c:v>
                </c:pt>
                <c:pt idx="50">
                  <c:v>48988000</c:v>
                </c:pt>
                <c:pt idx="51">
                  <c:v>49685000</c:v>
                </c:pt>
                <c:pt idx="52">
                  <c:v>50515000</c:v>
                </c:pt>
                <c:pt idx="53">
                  <c:v>51108000</c:v>
                </c:pt>
                <c:pt idx="54">
                  <c:v>50797000</c:v>
                </c:pt>
                <c:pt idx="55">
                  <c:v>50560000</c:v>
                </c:pt>
                <c:pt idx="56">
                  <c:v>51601000</c:v>
                </c:pt>
                <c:pt idx="57">
                  <c:v>50783000</c:v>
                </c:pt>
                <c:pt idx="58">
                  <c:v>48863000</c:v>
                </c:pt>
                <c:pt idx="59">
                  <c:v>50983000</c:v>
                </c:pt>
                <c:pt idx="60">
                  <c:v>51233000</c:v>
                </c:pt>
                <c:pt idx="61">
                  <c:v>51005000</c:v>
                </c:pt>
                <c:pt idx="62">
                  <c:v>50591000</c:v>
                </c:pt>
                <c:pt idx="63">
                  <c:v>49699000</c:v>
                </c:pt>
                <c:pt idx="64">
                  <c:v>49996000</c:v>
                </c:pt>
                <c:pt idx="65">
                  <c:v>50708000</c:v>
                </c:pt>
                <c:pt idx="66">
                  <c:v>51775000</c:v>
                </c:pt>
                <c:pt idx="67">
                  <c:v>52391000</c:v>
                </c:pt>
                <c:pt idx="68">
                  <c:v>51966000</c:v>
                </c:pt>
                <c:pt idx="69">
                  <c:v>51638000</c:v>
                </c:pt>
                <c:pt idx="70">
                  <c:v>53406000</c:v>
                </c:pt>
                <c:pt idx="71">
                  <c:v>51817000</c:v>
                </c:pt>
                <c:pt idx="72">
                  <c:v>51862000</c:v>
                </c:pt>
                <c:pt idx="73">
                  <c:v>53702000</c:v>
                </c:pt>
                <c:pt idx="74">
                  <c:v>55599000</c:v>
                </c:pt>
                <c:pt idx="75">
                  <c:v>56172000</c:v>
                </c:pt>
                <c:pt idx="76">
                  <c:v>56147000</c:v>
                </c:pt>
                <c:pt idx="77">
                  <c:v>58268000</c:v>
                </c:pt>
                <c:pt idx="78">
                  <c:v>60469000</c:v>
                </c:pt>
                <c:pt idx="79">
                  <c:v>61645000</c:v>
                </c:pt>
                <c:pt idx="80">
                  <c:v>62701000</c:v>
                </c:pt>
                <c:pt idx="81">
                  <c:v>67202000</c:v>
                </c:pt>
                <c:pt idx="82">
                  <c:v>67855000</c:v>
                </c:pt>
                <c:pt idx="83">
                  <c:v>69669000</c:v>
                </c:pt>
                <c:pt idx="84">
                  <c:v>74916000</c:v>
                </c:pt>
                <c:pt idx="85">
                  <c:v>75144000</c:v>
                </c:pt>
                <c:pt idx="86">
                  <c:v>74480000</c:v>
                </c:pt>
                <c:pt idx="87">
                  <c:v>76299000</c:v>
                </c:pt>
                <c:pt idx="88">
                  <c:v>76472000</c:v>
                </c:pt>
                <c:pt idx="89">
                  <c:v>74388000</c:v>
                </c:pt>
                <c:pt idx="90">
                  <c:v>74030360</c:v>
                </c:pt>
                <c:pt idx="91">
                  <c:v>73528661</c:v>
                </c:pt>
                <c:pt idx="92">
                  <c:v>74408661</c:v>
                </c:pt>
                <c:pt idx="93">
                  <c:v>73308661</c:v>
                </c:pt>
                <c:pt idx="94">
                  <c:v>73856956</c:v>
                </c:pt>
                <c:pt idx="95">
                  <c:v>72963889</c:v>
                </c:pt>
                <c:pt idx="96">
                  <c:v>68999191</c:v>
                </c:pt>
                <c:pt idx="97">
                  <c:v>69029451</c:v>
                </c:pt>
                <c:pt idx="98">
                  <c:v>71340226</c:v>
                </c:pt>
                <c:pt idx="99">
                  <c:v>70121496</c:v>
                </c:pt>
                <c:pt idx="100">
                  <c:v>71597382</c:v>
                </c:pt>
                <c:pt idx="101">
                  <c:v>71404311</c:v>
                </c:pt>
                <c:pt idx="102">
                  <c:v>72449056</c:v>
                </c:pt>
                <c:pt idx="103">
                  <c:v>71878016</c:v>
                </c:pt>
                <c:pt idx="104">
                  <c:v>75129631</c:v>
                </c:pt>
                <c:pt idx="105">
                  <c:v>73607253</c:v>
                </c:pt>
                <c:pt idx="106">
                  <c:v>71047088</c:v>
                </c:pt>
                <c:pt idx="107">
                  <c:v>69376155</c:v>
                </c:pt>
                <c:pt idx="108">
                  <c:v>67819853</c:v>
                </c:pt>
                <c:pt idx="109">
                  <c:v>65791593</c:v>
                </c:pt>
                <c:pt idx="110">
                  <c:v>65191818</c:v>
                </c:pt>
                <c:pt idx="111">
                  <c:v>65868548</c:v>
                </c:pt>
                <c:pt idx="112">
                  <c:v>65619662</c:v>
                </c:pt>
                <c:pt idx="113">
                  <c:v>70258069</c:v>
                </c:pt>
                <c:pt idx="114">
                  <c:v>67730033</c:v>
                </c:pt>
                <c:pt idx="115">
                  <c:v>67250068</c:v>
                </c:pt>
                <c:pt idx="116">
                  <c:v>65246523</c:v>
                </c:pt>
                <c:pt idx="117">
                  <c:v>66622353</c:v>
                </c:pt>
                <c:pt idx="118">
                  <c:v>68989264</c:v>
                </c:pt>
                <c:pt idx="119">
                  <c:v>71511746</c:v>
                </c:pt>
                <c:pt idx="120">
                  <c:v>73194010</c:v>
                </c:pt>
                <c:pt idx="121">
                  <c:v>75893746</c:v>
                </c:pt>
                <c:pt idx="122">
                  <c:v>76754638</c:v>
                </c:pt>
                <c:pt idx="123">
                  <c:v>78545084</c:v>
                </c:pt>
                <c:pt idx="124">
                  <c:v>79540405</c:v>
                </c:pt>
                <c:pt idx="125">
                  <c:v>76749826</c:v>
                </c:pt>
                <c:pt idx="126">
                  <c:v>78349568</c:v>
                </c:pt>
                <c:pt idx="127">
                  <c:v>80345099</c:v>
                </c:pt>
                <c:pt idx="128">
                  <c:v>81603545</c:v>
                </c:pt>
                <c:pt idx="129">
                  <c:v>79886463</c:v>
                </c:pt>
                <c:pt idx="130">
                  <c:v>79628235</c:v>
                </c:pt>
                <c:pt idx="131">
                  <c:v>79046599</c:v>
                </c:pt>
                <c:pt idx="132">
                  <c:v>81827648</c:v>
                </c:pt>
                <c:pt idx="133">
                  <c:v>82862676</c:v>
                </c:pt>
                <c:pt idx="134">
                  <c:v>80932128</c:v>
                </c:pt>
                <c:pt idx="135">
                  <c:v>82832175</c:v>
                </c:pt>
                <c:pt idx="136">
                  <c:v>84495664</c:v>
                </c:pt>
                <c:pt idx="137">
                  <c:v>85352650</c:v>
                </c:pt>
                <c:pt idx="138">
                  <c:v>86167248</c:v>
                </c:pt>
                <c:pt idx="139">
                  <c:v>86633987</c:v>
                </c:pt>
                <c:pt idx="140">
                  <c:v>86959855</c:v>
                </c:pt>
                <c:pt idx="141">
                  <c:v>88742192</c:v>
                </c:pt>
                <c:pt idx="142">
                  <c:v>90286303</c:v>
                </c:pt>
                <c:pt idx="143">
                  <c:v>96774586</c:v>
                </c:pt>
                <c:pt idx="144">
                  <c:v>93817646</c:v>
                </c:pt>
                <c:pt idx="145">
                  <c:v>93694960</c:v>
                </c:pt>
                <c:pt idx="146">
                  <c:v>95733839</c:v>
                </c:pt>
                <c:pt idx="147">
                  <c:v>96264276</c:v>
                </c:pt>
                <c:pt idx="148">
                  <c:v>104109616</c:v>
                </c:pt>
                <c:pt idx="149">
                  <c:v>104473521</c:v>
                </c:pt>
                <c:pt idx="150">
                  <c:v>106462354</c:v>
                </c:pt>
                <c:pt idx="151">
                  <c:v>109758275</c:v>
                </c:pt>
                <c:pt idx="152">
                  <c:v>109472658</c:v>
                </c:pt>
                <c:pt idx="153">
                  <c:v>110178263</c:v>
                </c:pt>
                <c:pt idx="154">
                  <c:v>109511123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4D-4CB3-A45E-D925427139D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Data!$A$133:$A$287</c:f>
              <c:numCache>
                <c:formatCode>mmm\-yy</c:formatCode>
                <c:ptCount val="155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</c:numCache>
            </c:numRef>
          </c:cat>
          <c:val>
            <c:numRef>
              <c:f>Data!$C$133:$C$287</c:f>
              <c:numCache>
                <c:formatCode>"kr"#,##0_);\("kr"#,##0\)</c:formatCode>
                <c:ptCount val="155"/>
                <c:pt idx="0">
                  <c:v>47072216</c:v>
                </c:pt>
                <c:pt idx="1">
                  <c:v>48583562</c:v>
                </c:pt>
                <c:pt idx="2">
                  <c:v>48791469</c:v>
                </c:pt>
                <c:pt idx="3">
                  <c:v>49229402</c:v>
                </c:pt>
                <c:pt idx="4">
                  <c:v>50792523</c:v>
                </c:pt>
                <c:pt idx="5">
                  <c:v>51401251</c:v>
                </c:pt>
                <c:pt idx="6">
                  <c:v>51975284</c:v>
                </c:pt>
                <c:pt idx="7">
                  <c:v>50837937</c:v>
                </c:pt>
                <c:pt idx="8">
                  <c:v>48399221</c:v>
                </c:pt>
                <c:pt idx="9">
                  <c:v>47962079</c:v>
                </c:pt>
                <c:pt idx="10">
                  <c:v>48329336</c:v>
                </c:pt>
                <c:pt idx="11">
                  <c:v>46877860</c:v>
                </c:pt>
                <c:pt idx="12">
                  <c:v>47041533</c:v>
                </c:pt>
                <c:pt idx="13">
                  <c:v>46150931</c:v>
                </c:pt>
                <c:pt idx="14">
                  <c:v>44951641</c:v>
                </c:pt>
                <c:pt idx="15">
                  <c:v>44280887</c:v>
                </c:pt>
                <c:pt idx="16">
                  <c:v>42816485</c:v>
                </c:pt>
                <c:pt idx="17">
                  <c:v>41553931</c:v>
                </c:pt>
                <c:pt idx="18">
                  <c:v>41790900</c:v>
                </c:pt>
                <c:pt idx="19">
                  <c:v>42021775</c:v>
                </c:pt>
                <c:pt idx="20">
                  <c:v>42514359</c:v>
                </c:pt>
                <c:pt idx="21">
                  <c:v>43273341</c:v>
                </c:pt>
                <c:pt idx="22">
                  <c:v>41644702</c:v>
                </c:pt>
                <c:pt idx="23">
                  <c:v>42390022</c:v>
                </c:pt>
                <c:pt idx="24">
                  <c:v>41950815</c:v>
                </c:pt>
                <c:pt idx="25">
                  <c:v>43623486</c:v>
                </c:pt>
                <c:pt idx="26">
                  <c:v>46104882</c:v>
                </c:pt>
                <c:pt idx="27">
                  <c:v>45241049</c:v>
                </c:pt>
                <c:pt idx="28">
                  <c:v>46998636</c:v>
                </c:pt>
                <c:pt idx="29">
                  <c:v>47019616</c:v>
                </c:pt>
                <c:pt idx="30">
                  <c:v>46986328</c:v>
                </c:pt>
                <c:pt idx="31">
                  <c:v>47710796</c:v>
                </c:pt>
                <c:pt idx="32">
                  <c:v>49473928</c:v>
                </c:pt>
                <c:pt idx="33">
                  <c:v>49804277</c:v>
                </c:pt>
                <c:pt idx="34">
                  <c:v>50075069</c:v>
                </c:pt>
                <c:pt idx="35">
                  <c:v>49019305</c:v>
                </c:pt>
                <c:pt idx="36">
                  <c:v>48270382</c:v>
                </c:pt>
                <c:pt idx="37">
                  <c:v>47746641</c:v>
                </c:pt>
                <c:pt idx="38">
                  <c:v>46445634</c:v>
                </c:pt>
                <c:pt idx="39">
                  <c:v>47126000</c:v>
                </c:pt>
                <c:pt idx="40">
                  <c:v>46588000</c:v>
                </c:pt>
                <c:pt idx="41">
                  <c:v>46885000</c:v>
                </c:pt>
                <c:pt idx="42">
                  <c:v>47188000</c:v>
                </c:pt>
                <c:pt idx="43">
                  <c:v>48664000</c:v>
                </c:pt>
                <c:pt idx="44">
                  <c:v>47456000</c:v>
                </c:pt>
                <c:pt idx="45">
                  <c:v>46682000</c:v>
                </c:pt>
                <c:pt idx="46">
                  <c:v>47742000</c:v>
                </c:pt>
                <c:pt idx="47">
                  <c:v>49352000</c:v>
                </c:pt>
                <c:pt idx="48">
                  <c:v>49599000</c:v>
                </c:pt>
                <c:pt idx="49">
                  <c:v>49022000</c:v>
                </c:pt>
                <c:pt idx="50">
                  <c:v>49706000</c:v>
                </c:pt>
                <c:pt idx="51">
                  <c:v>50891000</c:v>
                </c:pt>
                <c:pt idx="52">
                  <c:v>49315000</c:v>
                </c:pt>
                <c:pt idx="53">
                  <c:v>50350000</c:v>
                </c:pt>
                <c:pt idx="54">
                  <c:v>49885000</c:v>
                </c:pt>
                <c:pt idx="55">
                  <c:v>49095000</c:v>
                </c:pt>
                <c:pt idx="56">
                  <c:v>49596000</c:v>
                </c:pt>
                <c:pt idx="57">
                  <c:v>51506000</c:v>
                </c:pt>
                <c:pt idx="58">
                  <c:v>51333000</c:v>
                </c:pt>
                <c:pt idx="59">
                  <c:v>49687000</c:v>
                </c:pt>
                <c:pt idx="60">
                  <c:v>49913000</c:v>
                </c:pt>
                <c:pt idx="61">
                  <c:v>49362000</c:v>
                </c:pt>
                <c:pt idx="62">
                  <c:v>48911000</c:v>
                </c:pt>
                <c:pt idx="63">
                  <c:v>48971000</c:v>
                </c:pt>
                <c:pt idx="64">
                  <c:v>50690000</c:v>
                </c:pt>
                <c:pt idx="65">
                  <c:v>50482000</c:v>
                </c:pt>
                <c:pt idx="66">
                  <c:v>50705000</c:v>
                </c:pt>
                <c:pt idx="67">
                  <c:v>50350000</c:v>
                </c:pt>
                <c:pt idx="68">
                  <c:v>51749000</c:v>
                </c:pt>
                <c:pt idx="69">
                  <c:v>50470000</c:v>
                </c:pt>
                <c:pt idx="70">
                  <c:v>51466000</c:v>
                </c:pt>
                <c:pt idx="71">
                  <c:v>53210000</c:v>
                </c:pt>
                <c:pt idx="72">
                  <c:v>54336000</c:v>
                </c:pt>
                <c:pt idx="73">
                  <c:v>54931000</c:v>
                </c:pt>
                <c:pt idx="74">
                  <c:v>56081000</c:v>
                </c:pt>
                <c:pt idx="75">
                  <c:v>56245000</c:v>
                </c:pt>
                <c:pt idx="76">
                  <c:v>57912000</c:v>
                </c:pt>
                <c:pt idx="77">
                  <c:v>61924000</c:v>
                </c:pt>
                <c:pt idx="78">
                  <c:v>64686000</c:v>
                </c:pt>
                <c:pt idx="79">
                  <c:v>67257000</c:v>
                </c:pt>
                <c:pt idx="80">
                  <c:v>69417000</c:v>
                </c:pt>
                <c:pt idx="81">
                  <c:v>72399000</c:v>
                </c:pt>
                <c:pt idx="82">
                  <c:v>73693000</c:v>
                </c:pt>
                <c:pt idx="83">
                  <c:v>73176000</c:v>
                </c:pt>
                <c:pt idx="84">
                  <c:v>72863000</c:v>
                </c:pt>
                <c:pt idx="85">
                  <c:v>73573000</c:v>
                </c:pt>
                <c:pt idx="86">
                  <c:v>73331000</c:v>
                </c:pt>
                <c:pt idx="87">
                  <c:v>74575000</c:v>
                </c:pt>
                <c:pt idx="88">
                  <c:v>73347000</c:v>
                </c:pt>
                <c:pt idx="89">
                  <c:v>71223000</c:v>
                </c:pt>
                <c:pt idx="90">
                  <c:v>70382000</c:v>
                </c:pt>
                <c:pt idx="91">
                  <c:v>70521251</c:v>
                </c:pt>
                <c:pt idx="92">
                  <c:v>67526164</c:v>
                </c:pt>
                <c:pt idx="93">
                  <c:v>66086357</c:v>
                </c:pt>
                <c:pt idx="94">
                  <c:v>66425879</c:v>
                </c:pt>
                <c:pt idx="95">
                  <c:v>70051539</c:v>
                </c:pt>
                <c:pt idx="96">
                  <c:v>70293007</c:v>
                </c:pt>
                <c:pt idx="97">
                  <c:v>70860514</c:v>
                </c:pt>
                <c:pt idx="98">
                  <c:v>71089380</c:v>
                </c:pt>
                <c:pt idx="99">
                  <c:v>73325103</c:v>
                </c:pt>
                <c:pt idx="100">
                  <c:v>74062944</c:v>
                </c:pt>
                <c:pt idx="101">
                  <c:v>72931416</c:v>
                </c:pt>
                <c:pt idx="102">
                  <c:v>72238452</c:v>
                </c:pt>
                <c:pt idx="103">
                  <c:v>70713410</c:v>
                </c:pt>
                <c:pt idx="104">
                  <c:v>71855038</c:v>
                </c:pt>
                <c:pt idx="105">
                  <c:v>69896808</c:v>
                </c:pt>
                <c:pt idx="106">
                  <c:v>66553025</c:v>
                </c:pt>
                <c:pt idx="107">
                  <c:v>64597365</c:v>
                </c:pt>
                <c:pt idx="108">
                  <c:v>63134897</c:v>
                </c:pt>
                <c:pt idx="109">
                  <c:v>63121390</c:v>
                </c:pt>
                <c:pt idx="110">
                  <c:v>65238524</c:v>
                </c:pt>
                <c:pt idx="111">
                  <c:v>63941801</c:v>
                </c:pt>
                <c:pt idx="112">
                  <c:v>63445960</c:v>
                </c:pt>
                <c:pt idx="113">
                  <c:v>64693599</c:v>
                </c:pt>
                <c:pt idx="114">
                  <c:v>62769749</c:v>
                </c:pt>
                <c:pt idx="115">
                  <c:v>63136651</c:v>
                </c:pt>
                <c:pt idx="116">
                  <c:v>66760181</c:v>
                </c:pt>
                <c:pt idx="117">
                  <c:v>69218062</c:v>
                </c:pt>
                <c:pt idx="118">
                  <c:v>74947395</c:v>
                </c:pt>
                <c:pt idx="119">
                  <c:v>74944494</c:v>
                </c:pt>
                <c:pt idx="120">
                  <c:v>77873984</c:v>
                </c:pt>
                <c:pt idx="121">
                  <c:v>78271843</c:v>
                </c:pt>
                <c:pt idx="122">
                  <c:v>77910201</c:v>
                </c:pt>
                <c:pt idx="123">
                  <c:v>76839028</c:v>
                </c:pt>
                <c:pt idx="124">
                  <c:v>78957735</c:v>
                </c:pt>
                <c:pt idx="125">
                  <c:v>79337052</c:v>
                </c:pt>
                <c:pt idx="126">
                  <c:v>83653261</c:v>
                </c:pt>
                <c:pt idx="127">
                  <c:v>84434811</c:v>
                </c:pt>
                <c:pt idx="128">
                  <c:v>80577040</c:v>
                </c:pt>
                <c:pt idx="129">
                  <c:v>81662243</c:v>
                </c:pt>
                <c:pt idx="130">
                  <c:v>79656284</c:v>
                </c:pt>
                <c:pt idx="131">
                  <c:v>82786440</c:v>
                </c:pt>
                <c:pt idx="132">
                  <c:v>84997978</c:v>
                </c:pt>
                <c:pt idx="133">
                  <c:v>84416840</c:v>
                </c:pt>
                <c:pt idx="134">
                  <c:v>83477667</c:v>
                </c:pt>
                <c:pt idx="135">
                  <c:v>85615708</c:v>
                </c:pt>
                <c:pt idx="136">
                  <c:v>89929607</c:v>
                </c:pt>
                <c:pt idx="137">
                  <c:v>90845785</c:v>
                </c:pt>
                <c:pt idx="138">
                  <c:v>90597763</c:v>
                </c:pt>
                <c:pt idx="139">
                  <c:v>91431058</c:v>
                </c:pt>
                <c:pt idx="140">
                  <c:v>92964713</c:v>
                </c:pt>
                <c:pt idx="141">
                  <c:v>98959219</c:v>
                </c:pt>
                <c:pt idx="142">
                  <c:v>99642926</c:v>
                </c:pt>
                <c:pt idx="143">
                  <c:v>100899098</c:v>
                </c:pt>
                <c:pt idx="144">
                  <c:v>98768652</c:v>
                </c:pt>
                <c:pt idx="145">
                  <c:v>100424656</c:v>
                </c:pt>
                <c:pt idx="146">
                  <c:v>100886116</c:v>
                </c:pt>
                <c:pt idx="147">
                  <c:v>100966922</c:v>
                </c:pt>
                <c:pt idx="148">
                  <c:v>99343452</c:v>
                </c:pt>
                <c:pt idx="149">
                  <c:v>99040974</c:v>
                </c:pt>
                <c:pt idx="150">
                  <c:v>100995552</c:v>
                </c:pt>
                <c:pt idx="151">
                  <c:v>103530632</c:v>
                </c:pt>
                <c:pt idx="152">
                  <c:v>102918380</c:v>
                </c:pt>
                <c:pt idx="153">
                  <c:v>98198343</c:v>
                </c:pt>
                <c:pt idx="154">
                  <c:v>97658392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4D-4CB3-A45E-D92542713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585312"/>
        <c:axId val="1172577032"/>
      </c:lineChart>
      <c:dateAx>
        <c:axId val="11725853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72577032"/>
        <c:crosses val="autoZero"/>
        <c:auto val="0"/>
        <c:lblOffset val="100"/>
        <c:baseTimeUnit val="months"/>
      </c:dateAx>
      <c:valAx>
        <c:axId val="117257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_);\(&quot;k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7258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1"/>
  <sheetViews>
    <sheetView tabSelected="1" zoomScale="60" workbookViewId="0"/>
  </sheetViews>
  <pageMargins left="0.70866141732283472" right="0.70866141732283472" top="0.74803149606299213" bottom="0.74803149606299213" header="0.31496062992125984" footer="0.31496062992125984"/>
  <pageSetup paperSize="8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3700125" cy="920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20</xdr:row>
      <xdr:rowOff>83820</xdr:rowOff>
    </xdr:from>
    <xdr:to>
      <xdr:col>25</xdr:col>
      <xdr:colOff>121920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20</xdr:row>
      <xdr:rowOff>99060</xdr:rowOff>
    </xdr:from>
    <xdr:to>
      <xdr:col>15</xdr:col>
      <xdr:colOff>883920</xdr:colOff>
      <xdr:row>36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378922</xdr:colOff>
      <xdr:row>214</xdr:row>
      <xdr:rowOff>93679</xdr:rowOff>
    </xdr:from>
    <xdr:to>
      <xdr:col>17</xdr:col>
      <xdr:colOff>249382</xdr:colOff>
      <xdr:row>229</xdr:row>
      <xdr:rowOff>93679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8CBC5E-98B3-4535-A6DA-DF0E95D49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411480</xdr:colOff>
      <xdr:row>230</xdr:row>
      <xdr:rowOff>71217</xdr:rowOff>
    </xdr:from>
    <xdr:to>
      <xdr:col>17</xdr:col>
      <xdr:colOff>274320</xdr:colOff>
      <xdr:row>245</xdr:row>
      <xdr:rowOff>71217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7AC0C6-B228-4589-AC24-ACA69054C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359018</xdr:colOff>
      <xdr:row>246</xdr:row>
      <xdr:rowOff>75467</xdr:rowOff>
    </xdr:from>
    <xdr:to>
      <xdr:col>18</xdr:col>
      <xdr:colOff>805960</xdr:colOff>
      <xdr:row>260</xdr:row>
      <xdr:rowOff>151667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513805-D0F3-4AE4-870A-9AE651C6E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256442</xdr:colOff>
      <xdr:row>277</xdr:row>
      <xdr:rowOff>148737</xdr:rowOff>
    </xdr:from>
    <xdr:to>
      <xdr:col>14</xdr:col>
      <xdr:colOff>571500</xdr:colOff>
      <xdr:row>292</xdr:row>
      <xdr:rowOff>34437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D58ADA-4C56-C440-9289-0C4F5C4AB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305</xdr:row>
      <xdr:rowOff>0</xdr:rowOff>
    </xdr:from>
    <xdr:to>
      <xdr:col>19</xdr:col>
      <xdr:colOff>237392</xdr:colOff>
      <xdr:row>319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4A7CBE-63E7-4ADB-94A1-CCBE5FE18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638175</xdr:colOff>
      <xdr:row>274</xdr:row>
      <xdr:rowOff>123825</xdr:rowOff>
    </xdr:from>
    <xdr:to>
      <xdr:col>21</xdr:col>
      <xdr:colOff>1066800</xdr:colOff>
      <xdr:row>291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D79B09-106C-77C2-7F8D-FEA23A9DE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V374"/>
  <sheetViews>
    <sheetView zoomScale="90" zoomScaleNormal="90" workbookViewId="0">
      <pane ySplit="6" topLeftCell="A61" activePane="bottomLeft" state="frozen"/>
      <selection pane="bottomLeft" activeCell="E108" sqref="E108"/>
    </sheetView>
  </sheetViews>
  <sheetFormatPr defaultRowHeight="15"/>
  <cols>
    <col min="2" max="2" width="17.42578125" bestFit="1" customWidth="1"/>
    <col min="3" max="3" width="18.85546875" bestFit="1" customWidth="1"/>
    <col min="4" max="4" width="11.5703125" bestFit="1" customWidth="1"/>
    <col min="5" max="5" width="11.5703125" customWidth="1"/>
    <col min="6" max="6" width="13.5703125" style="9" bestFit="1" customWidth="1"/>
    <col min="7" max="7" width="13.7109375" style="11" bestFit="1" customWidth="1"/>
    <col min="15" max="15" width="11.28515625" bestFit="1" customWidth="1"/>
    <col min="16" max="16" width="13.28515625" bestFit="1" customWidth="1"/>
    <col min="17" max="17" width="15.28515625" bestFit="1" customWidth="1"/>
    <col min="18" max="19" width="12.28515625" customWidth="1"/>
    <col min="20" max="20" width="12.28515625" bestFit="1" customWidth="1"/>
    <col min="21" max="21" width="15.28515625" bestFit="1" customWidth="1"/>
    <col min="22" max="22" width="16.28515625" bestFit="1" customWidth="1"/>
  </cols>
  <sheetData>
    <row r="3" spans="1:21" ht="20.25">
      <c r="A3" s="1" t="s">
        <v>0</v>
      </c>
    </row>
    <row r="5" spans="1:21" ht="15.75">
      <c r="A5" s="2" t="s">
        <v>1</v>
      </c>
    </row>
    <row r="6" spans="1:21">
      <c r="A6" t="s">
        <v>1</v>
      </c>
      <c r="B6" t="s">
        <v>3</v>
      </c>
      <c r="C6" t="s">
        <v>4</v>
      </c>
      <c r="D6" t="s">
        <v>5</v>
      </c>
      <c r="E6" s="19" t="s">
        <v>12</v>
      </c>
      <c r="F6" s="9" t="s">
        <v>6</v>
      </c>
      <c r="G6" s="11" t="s">
        <v>2</v>
      </c>
      <c r="N6" t="s">
        <v>8</v>
      </c>
      <c r="P6" t="s">
        <v>6</v>
      </c>
      <c r="Q6" t="s">
        <v>9</v>
      </c>
      <c r="R6" t="s">
        <v>8</v>
      </c>
      <c r="T6" t="s">
        <v>7</v>
      </c>
      <c r="U6" t="s">
        <v>9</v>
      </c>
    </row>
    <row r="7" spans="1:21">
      <c r="A7" s="4">
        <v>36892</v>
      </c>
      <c r="B7" s="3"/>
      <c r="C7" s="3"/>
      <c r="D7" s="5"/>
      <c r="E7" s="5"/>
      <c r="F7" s="10">
        <v>1826723</v>
      </c>
      <c r="G7" s="12">
        <v>1820703</v>
      </c>
      <c r="N7">
        <v>2001</v>
      </c>
      <c r="O7" s="3">
        <f>P7/9.04</f>
        <v>2233619.5796460179</v>
      </c>
      <c r="P7" s="3">
        <f>SUM(F7:F18)</f>
        <v>20191921</v>
      </c>
      <c r="R7">
        <v>2001</v>
      </c>
      <c r="S7" s="8">
        <f>T7/9.04</f>
        <v>2308500.8849557526</v>
      </c>
      <c r="T7" s="3">
        <f>SUM(G7:G18)</f>
        <v>20868848</v>
      </c>
    </row>
    <row r="8" spans="1:21">
      <c r="A8" s="4">
        <v>36923</v>
      </c>
      <c r="B8" s="3"/>
      <c r="C8" s="3"/>
      <c r="D8" s="5"/>
      <c r="E8" s="5"/>
      <c r="F8" s="10">
        <v>1559124</v>
      </c>
      <c r="G8" s="12">
        <v>1699458</v>
      </c>
      <c r="N8">
        <v>2002</v>
      </c>
      <c r="O8" s="3">
        <f t="shared" ref="O8:O17" si="0">P8/9.04</f>
        <v>2417748.672566372</v>
      </c>
      <c r="P8" s="3">
        <f>SUM(F19:F30)</f>
        <v>21856448</v>
      </c>
      <c r="R8">
        <v>2002</v>
      </c>
      <c r="S8" s="8">
        <f t="shared" ref="S8:S17" si="1">T8/9.04</f>
        <v>2506758.0752212391</v>
      </c>
      <c r="T8" s="3">
        <f>SUM(G19:G30)</f>
        <v>22661093</v>
      </c>
    </row>
    <row r="9" spans="1:21">
      <c r="A9" s="4">
        <v>36951</v>
      </c>
      <c r="B9" s="3"/>
      <c r="C9" s="3"/>
      <c r="D9" s="5"/>
      <c r="E9" s="5"/>
      <c r="F9" s="10">
        <v>2006537</v>
      </c>
      <c r="G9" s="12">
        <v>1720589</v>
      </c>
      <c r="N9">
        <v>2003</v>
      </c>
      <c r="O9" s="3">
        <f t="shared" si="0"/>
        <v>2873507.7433628323</v>
      </c>
      <c r="P9" s="3">
        <f>SUM(F31:F42)</f>
        <v>25976510</v>
      </c>
      <c r="R9">
        <v>2003</v>
      </c>
      <c r="S9" s="8">
        <f t="shared" si="1"/>
        <v>2722185.8407079647</v>
      </c>
      <c r="T9" s="3">
        <f>SUM(G31:G42)</f>
        <v>24608560</v>
      </c>
    </row>
    <row r="10" spans="1:21">
      <c r="A10" s="4">
        <v>36982</v>
      </c>
      <c r="B10" s="3"/>
      <c r="C10" s="3"/>
      <c r="D10" s="5"/>
      <c r="E10" s="5"/>
      <c r="F10" s="10">
        <v>1351508</v>
      </c>
      <c r="G10" s="12">
        <v>1294313</v>
      </c>
      <c r="N10">
        <v>2004</v>
      </c>
      <c r="O10" s="3">
        <f t="shared" si="0"/>
        <v>3450643.1415929208</v>
      </c>
      <c r="P10" s="3">
        <f>SUM(F43:F54)</f>
        <v>31193814</v>
      </c>
      <c r="R10">
        <v>2004</v>
      </c>
      <c r="S10" s="8">
        <f t="shared" si="1"/>
        <v>3628049.336283186</v>
      </c>
      <c r="T10" s="3">
        <f>SUM(G43:G54)</f>
        <v>32797566</v>
      </c>
    </row>
    <row r="11" spans="1:21">
      <c r="A11" s="4">
        <v>37012</v>
      </c>
      <c r="B11" s="3"/>
      <c r="C11" s="3"/>
      <c r="D11" s="5"/>
      <c r="E11" s="5"/>
      <c r="F11" s="10">
        <v>1581765</v>
      </c>
      <c r="G11" s="12">
        <v>1767367</v>
      </c>
      <c r="N11">
        <v>2005</v>
      </c>
      <c r="O11" s="3">
        <f t="shared" si="0"/>
        <v>3953271.9081858406</v>
      </c>
      <c r="P11" s="3">
        <f>SUM(F55:F66)</f>
        <v>35737578.049999997</v>
      </c>
      <c r="R11">
        <v>2005</v>
      </c>
      <c r="S11" s="8">
        <f t="shared" si="1"/>
        <v>3956545.3384955754</v>
      </c>
      <c r="T11" s="3">
        <f>SUM(G55:G66)</f>
        <v>35767169.859999999</v>
      </c>
    </row>
    <row r="12" spans="1:21">
      <c r="A12" s="4">
        <v>37043</v>
      </c>
      <c r="B12" s="3"/>
      <c r="C12" s="3"/>
      <c r="D12" s="5"/>
      <c r="E12" s="5"/>
      <c r="F12" s="10">
        <v>1827535</v>
      </c>
      <c r="G12" s="12">
        <v>2162070</v>
      </c>
      <c r="N12">
        <v>2006</v>
      </c>
      <c r="O12" s="3">
        <f t="shared" si="0"/>
        <v>3911827.7356194691</v>
      </c>
      <c r="P12" s="3">
        <f>SUM(F67:F77)</f>
        <v>35362922.729999997</v>
      </c>
      <c r="R12">
        <v>2006</v>
      </c>
      <c r="S12" s="8">
        <f t="shared" si="1"/>
        <v>4340942.3738938058</v>
      </c>
      <c r="T12" s="3">
        <f>SUM(G67:G78)</f>
        <v>39242119.060000002</v>
      </c>
    </row>
    <row r="13" spans="1:21">
      <c r="A13" s="4">
        <v>37073</v>
      </c>
      <c r="B13" s="3"/>
      <c r="C13" s="3"/>
      <c r="D13" s="5"/>
      <c r="E13" s="5"/>
      <c r="F13" s="10">
        <v>900508</v>
      </c>
      <c r="G13" s="12">
        <v>1000920</v>
      </c>
      <c r="N13">
        <v>2007</v>
      </c>
      <c r="O13" s="3">
        <f t="shared" si="0"/>
        <v>4971168.0553097352</v>
      </c>
      <c r="P13" s="3">
        <f>SUM(F79:F90)</f>
        <v>44939359.220000006</v>
      </c>
      <c r="R13">
        <v>2007</v>
      </c>
      <c r="S13" s="8">
        <f t="shared" si="1"/>
        <v>5179037.6393805323</v>
      </c>
      <c r="T13" s="3">
        <f>SUM(G79:G90)</f>
        <v>46818500.260000005</v>
      </c>
    </row>
    <row r="14" spans="1:21">
      <c r="A14" s="4">
        <v>37104</v>
      </c>
      <c r="B14" s="3"/>
      <c r="C14" s="3"/>
      <c r="D14" s="5"/>
      <c r="E14" s="5"/>
      <c r="F14" s="10">
        <v>1945147</v>
      </c>
      <c r="G14" s="12">
        <v>1756951</v>
      </c>
      <c r="N14">
        <v>2008</v>
      </c>
      <c r="O14" s="3">
        <f t="shared" si="0"/>
        <v>5661805.5309734521</v>
      </c>
      <c r="P14" s="3">
        <f>SUM(F91:F102)</f>
        <v>51182722</v>
      </c>
      <c r="R14">
        <v>2008</v>
      </c>
      <c r="S14" s="8">
        <f t="shared" si="1"/>
        <v>5421043.0309734521</v>
      </c>
      <c r="T14" s="3">
        <f>SUM(G91:G102)</f>
        <v>49006229</v>
      </c>
    </row>
    <row r="15" spans="1:21">
      <c r="A15" s="4">
        <v>37135</v>
      </c>
      <c r="B15" s="3"/>
      <c r="C15" s="3"/>
      <c r="D15" s="5"/>
      <c r="E15" s="5"/>
      <c r="F15" s="10">
        <v>1387909</v>
      </c>
      <c r="G15" s="12">
        <v>1691474</v>
      </c>
      <c r="N15">
        <v>2009</v>
      </c>
      <c r="O15" s="3">
        <f t="shared" si="0"/>
        <v>3074245.353982301</v>
      </c>
      <c r="P15" s="3">
        <f>SUM(F103:F114)</f>
        <v>27791178</v>
      </c>
      <c r="R15">
        <v>2009</v>
      </c>
      <c r="S15" s="8">
        <f t="shared" si="1"/>
        <v>2887115.2654867261</v>
      </c>
      <c r="T15" s="7">
        <f>SUM(G103:G114)</f>
        <v>26099522</v>
      </c>
    </row>
    <row r="16" spans="1:21">
      <c r="A16" s="4">
        <v>37165</v>
      </c>
      <c r="B16" s="3"/>
      <c r="C16" s="3"/>
      <c r="D16" s="5"/>
      <c r="E16" s="5"/>
      <c r="F16" s="10">
        <v>2301987</v>
      </c>
      <c r="G16" s="12">
        <v>2746037</v>
      </c>
      <c r="N16">
        <v>2010</v>
      </c>
      <c r="O16" s="3">
        <f t="shared" si="0"/>
        <v>3971483.5176991154</v>
      </c>
      <c r="P16" s="3">
        <f>SUM(F115:F126)</f>
        <v>35902211</v>
      </c>
      <c r="R16">
        <v>2010</v>
      </c>
      <c r="S16" s="8">
        <f t="shared" si="1"/>
        <v>4158101.991150443</v>
      </c>
      <c r="T16" s="3">
        <f>SUM(G115:G126)</f>
        <v>37589242</v>
      </c>
    </row>
    <row r="17" spans="1:22">
      <c r="A17" s="4">
        <v>37196</v>
      </c>
      <c r="B17" s="3"/>
      <c r="C17" s="3"/>
      <c r="D17" s="5"/>
      <c r="E17" s="5"/>
      <c r="F17" s="10">
        <v>2165551</v>
      </c>
      <c r="G17" s="12">
        <v>1664284</v>
      </c>
      <c r="N17" t="s">
        <v>10</v>
      </c>
      <c r="O17" s="3">
        <f t="shared" si="0"/>
        <v>1728714.8230088498</v>
      </c>
      <c r="P17" s="3">
        <f>SUM(F127:F130)</f>
        <v>15627582</v>
      </c>
      <c r="Q17" s="6">
        <f>34372418/9.04</f>
        <v>3802258.6283185845</v>
      </c>
      <c r="R17" t="s">
        <v>10</v>
      </c>
      <c r="S17" s="8">
        <f t="shared" si="1"/>
        <v>1929104.0929203541</v>
      </c>
      <c r="T17" s="3">
        <f>SUM(G127:G130)</f>
        <v>17439101</v>
      </c>
      <c r="U17" s="6">
        <f>V17/9.04</f>
        <v>3823108.2964601773</v>
      </c>
      <c r="V17" s="6">
        <v>34560899</v>
      </c>
    </row>
    <row r="18" spans="1:22" ht="15.75" thickBot="1">
      <c r="A18" s="4">
        <v>37226</v>
      </c>
      <c r="B18" s="3">
        <f t="shared" ref="B18:B49" si="2">SUM(F7:F18)</f>
        <v>20191921</v>
      </c>
      <c r="C18" s="3">
        <f t="shared" ref="C18:C49" si="3">SUM(G7:G18)</f>
        <v>20868848</v>
      </c>
      <c r="D18" s="5">
        <f t="shared" ref="D18:D49" si="4">SUM(C18/B18)</f>
        <v>1.0335246458224554</v>
      </c>
      <c r="E18" s="18">
        <v>48.6</v>
      </c>
      <c r="F18" s="10">
        <v>1337627</v>
      </c>
      <c r="G18" s="12">
        <v>1544682</v>
      </c>
    </row>
    <row r="19" spans="1:22" ht="15.75" thickBot="1">
      <c r="A19" s="4">
        <v>37257</v>
      </c>
      <c r="B19" s="3">
        <f t="shared" si="2"/>
        <v>20208334</v>
      </c>
      <c r="C19" s="3">
        <f t="shared" si="3"/>
        <v>20992579</v>
      </c>
      <c r="D19" s="5">
        <f t="shared" si="4"/>
        <v>1.0388079987197361</v>
      </c>
      <c r="E19" s="18">
        <v>51.2</v>
      </c>
      <c r="F19" s="10">
        <v>1843136</v>
      </c>
      <c r="G19" s="12">
        <v>1944434</v>
      </c>
    </row>
    <row r="20" spans="1:22" ht="15.75" thickBot="1">
      <c r="A20" s="4">
        <v>37288</v>
      </c>
      <c r="B20" s="3">
        <f t="shared" si="2"/>
        <v>20193144</v>
      </c>
      <c r="C20" s="3">
        <f t="shared" si="3"/>
        <v>21005936</v>
      </c>
      <c r="D20" s="5">
        <f t="shared" si="4"/>
        <v>1.0402508891136517</v>
      </c>
      <c r="E20" s="18">
        <v>53.7</v>
      </c>
      <c r="F20" s="10">
        <v>1543934</v>
      </c>
      <c r="G20" s="12">
        <v>1712815</v>
      </c>
    </row>
    <row r="21" spans="1:22" ht="15.75" thickBot="1">
      <c r="A21" s="4">
        <v>37316</v>
      </c>
      <c r="B21" s="3">
        <f t="shared" si="2"/>
        <v>19652948</v>
      </c>
      <c r="C21" s="3">
        <f t="shared" si="3"/>
        <v>21001916</v>
      </c>
      <c r="D21" s="5">
        <f t="shared" si="4"/>
        <v>1.0686394733248161</v>
      </c>
      <c r="E21" s="18">
        <v>54.3</v>
      </c>
      <c r="F21" s="10">
        <v>1466341</v>
      </c>
      <c r="G21" s="12">
        <v>1716569</v>
      </c>
    </row>
    <row r="22" spans="1:22" ht="15.75" thickBot="1">
      <c r="A22" s="4">
        <v>37347</v>
      </c>
      <c r="B22" s="3">
        <f t="shared" si="2"/>
        <v>20375859</v>
      </c>
      <c r="C22" s="3">
        <f t="shared" si="3"/>
        <v>21634587</v>
      </c>
      <c r="D22" s="5">
        <f t="shared" si="4"/>
        <v>1.0617754569267486</v>
      </c>
      <c r="E22" s="18">
        <v>54.3</v>
      </c>
      <c r="F22" s="10">
        <v>2074419</v>
      </c>
      <c r="G22" s="12">
        <v>1926984</v>
      </c>
    </row>
    <row r="23" spans="1:22" ht="15.75" thickBot="1">
      <c r="A23" s="4">
        <v>37377</v>
      </c>
      <c r="B23" s="3">
        <f t="shared" si="2"/>
        <v>20167143</v>
      </c>
      <c r="C23" s="3">
        <f t="shared" si="3"/>
        <v>22231686</v>
      </c>
      <c r="D23" s="5">
        <f t="shared" si="4"/>
        <v>1.1023716150572245</v>
      </c>
      <c r="E23" s="18">
        <v>57.3</v>
      </c>
      <c r="F23" s="10">
        <v>1373049</v>
      </c>
      <c r="G23" s="12">
        <v>2364466</v>
      </c>
    </row>
    <row r="24" spans="1:22" ht="15.75" thickBot="1">
      <c r="A24" s="4">
        <v>37408</v>
      </c>
      <c r="B24" s="3">
        <f t="shared" si="2"/>
        <v>21296952</v>
      </c>
      <c r="C24" s="3">
        <f t="shared" si="3"/>
        <v>21995256</v>
      </c>
      <c r="D24" s="5">
        <f t="shared" si="4"/>
        <v>1.0327889174000111</v>
      </c>
      <c r="E24" s="18">
        <v>56</v>
      </c>
      <c r="F24" s="10">
        <v>2957344</v>
      </c>
      <c r="G24" s="12">
        <v>1925640</v>
      </c>
    </row>
    <row r="25" spans="1:22" ht="15.75" thickBot="1">
      <c r="A25" s="4">
        <v>37438</v>
      </c>
      <c r="B25" s="3">
        <f t="shared" si="2"/>
        <v>22092087</v>
      </c>
      <c r="C25" s="3">
        <f t="shared" si="3"/>
        <v>21964094</v>
      </c>
      <c r="D25" s="5">
        <f t="shared" si="4"/>
        <v>0.99420638711046172</v>
      </c>
      <c r="E25" s="18">
        <v>54.3</v>
      </c>
      <c r="F25" s="10">
        <v>1695643</v>
      </c>
      <c r="G25" s="12">
        <v>969758</v>
      </c>
    </row>
    <row r="26" spans="1:22" ht="15.75" thickBot="1">
      <c r="A26" s="4">
        <v>37469</v>
      </c>
      <c r="B26" s="3">
        <f t="shared" si="2"/>
        <v>21510344</v>
      </c>
      <c r="C26" s="3">
        <f t="shared" si="3"/>
        <v>21458169</v>
      </c>
      <c r="D26" s="5">
        <f t="shared" si="4"/>
        <v>0.99757442279863118</v>
      </c>
      <c r="E26" s="18">
        <v>54.2</v>
      </c>
      <c r="F26" s="10">
        <v>1363404</v>
      </c>
      <c r="G26" s="12">
        <v>1251026</v>
      </c>
    </row>
    <row r="27" spans="1:22" ht="15.75" thickBot="1">
      <c r="A27" s="4">
        <v>37500</v>
      </c>
      <c r="B27" s="3">
        <f t="shared" si="2"/>
        <v>21638335</v>
      </c>
      <c r="C27" s="3">
        <f t="shared" si="3"/>
        <v>21912287</v>
      </c>
      <c r="D27" s="5">
        <f t="shared" si="4"/>
        <v>1.0126604935176389</v>
      </c>
      <c r="E27" s="18">
        <v>54</v>
      </c>
      <c r="F27" s="10">
        <v>1515900</v>
      </c>
      <c r="G27" s="12">
        <v>2145592</v>
      </c>
    </row>
    <row r="28" spans="1:22" ht="15.75" thickBot="1">
      <c r="A28" s="4">
        <v>37530</v>
      </c>
      <c r="B28" s="3">
        <f t="shared" si="2"/>
        <v>21638636</v>
      </c>
      <c r="C28" s="3">
        <f t="shared" si="3"/>
        <v>20975118</v>
      </c>
      <c r="D28" s="5">
        <f t="shared" si="4"/>
        <v>0.96933642212938009</v>
      </c>
      <c r="E28" s="18">
        <v>53.1</v>
      </c>
      <c r="F28" s="10">
        <v>2302288</v>
      </c>
      <c r="G28" s="12">
        <v>1808868</v>
      </c>
    </row>
    <row r="29" spans="1:22" ht="15.75" thickBot="1">
      <c r="A29" s="4">
        <v>37561</v>
      </c>
      <c r="B29" s="3">
        <f t="shared" si="2"/>
        <v>21326903</v>
      </c>
      <c r="C29" s="3">
        <f t="shared" si="3"/>
        <v>21782343</v>
      </c>
      <c r="D29" s="5">
        <f t="shared" si="4"/>
        <v>1.0213551869204824</v>
      </c>
      <c r="E29" s="18">
        <v>54.4</v>
      </c>
      <c r="F29" s="10">
        <v>1853818</v>
      </c>
      <c r="G29" s="12">
        <v>2471509</v>
      </c>
    </row>
    <row r="30" spans="1:22" ht="15.75" thickBot="1">
      <c r="A30" s="4">
        <v>37591</v>
      </c>
      <c r="B30" s="3">
        <f t="shared" si="2"/>
        <v>21856448</v>
      </c>
      <c r="C30" s="3">
        <f t="shared" si="3"/>
        <v>22661093</v>
      </c>
      <c r="D30" s="5">
        <f t="shared" si="4"/>
        <v>1.0368149939093489</v>
      </c>
      <c r="E30" s="18">
        <v>54.7</v>
      </c>
      <c r="F30" s="10">
        <v>1867172</v>
      </c>
      <c r="G30" s="12">
        <v>2423432</v>
      </c>
    </row>
    <row r="31" spans="1:22" ht="15.75" thickBot="1">
      <c r="A31" s="4">
        <v>37622</v>
      </c>
      <c r="B31" s="3">
        <f t="shared" si="2"/>
        <v>22208626</v>
      </c>
      <c r="C31" s="3">
        <f t="shared" si="3"/>
        <v>22922980</v>
      </c>
      <c r="D31" s="5">
        <f t="shared" si="4"/>
        <v>1.032165609885096</v>
      </c>
      <c r="E31" s="18">
        <v>57.2</v>
      </c>
      <c r="F31" s="10">
        <v>2195314</v>
      </c>
      <c r="G31" s="12">
        <v>2206321</v>
      </c>
    </row>
    <row r="32" spans="1:22" ht="15.75" thickBot="1">
      <c r="A32" s="4">
        <v>37653</v>
      </c>
      <c r="B32" s="3">
        <f t="shared" si="2"/>
        <v>23022531</v>
      </c>
      <c r="C32" s="3">
        <f t="shared" si="3"/>
        <v>22739525</v>
      </c>
      <c r="D32" s="5">
        <f t="shared" si="4"/>
        <v>0.98770743320966747</v>
      </c>
      <c r="E32" s="18">
        <v>55.9</v>
      </c>
      <c r="F32" s="10">
        <v>2357839</v>
      </c>
      <c r="G32" s="12">
        <v>1529360</v>
      </c>
    </row>
    <row r="33" spans="1:7" ht="15.75" thickBot="1">
      <c r="A33" s="4">
        <v>37681</v>
      </c>
      <c r="B33" s="3">
        <f t="shared" si="2"/>
        <v>23988602</v>
      </c>
      <c r="C33" s="3">
        <f t="shared" si="3"/>
        <v>23661431</v>
      </c>
      <c r="D33" s="5">
        <f t="shared" si="4"/>
        <v>0.98636139780050547</v>
      </c>
      <c r="E33" s="18">
        <v>49.4</v>
      </c>
      <c r="F33" s="10">
        <v>2432412</v>
      </c>
      <c r="G33" s="12">
        <v>2638475</v>
      </c>
    </row>
    <row r="34" spans="1:7" ht="15.75" thickBot="1">
      <c r="A34" s="4">
        <v>37712</v>
      </c>
      <c r="B34" s="3">
        <f t="shared" si="2"/>
        <v>23777990</v>
      </c>
      <c r="C34" s="3">
        <f t="shared" si="3"/>
        <v>23833482</v>
      </c>
      <c r="D34" s="5">
        <f t="shared" si="4"/>
        <v>1.0023337548716271</v>
      </c>
      <c r="E34" s="18">
        <v>51.7</v>
      </c>
      <c r="F34" s="10">
        <v>1863807</v>
      </c>
      <c r="G34" s="12">
        <v>2099035</v>
      </c>
    </row>
    <row r="35" spans="1:7" ht="15.75" thickBot="1">
      <c r="A35" s="4">
        <v>37742</v>
      </c>
      <c r="B35" s="3">
        <f t="shared" si="2"/>
        <v>24363461</v>
      </c>
      <c r="C35" s="3">
        <f t="shared" si="3"/>
        <v>23665121</v>
      </c>
      <c r="D35" s="5">
        <f t="shared" si="4"/>
        <v>0.97133658473235807</v>
      </c>
      <c r="E35" s="18">
        <v>48.1</v>
      </c>
      <c r="F35" s="10">
        <v>1958520</v>
      </c>
      <c r="G35" s="12">
        <v>2196105</v>
      </c>
    </row>
    <row r="36" spans="1:7" ht="15.75" thickBot="1">
      <c r="A36" s="4">
        <v>37773</v>
      </c>
      <c r="B36" s="3">
        <f t="shared" si="2"/>
        <v>23155002</v>
      </c>
      <c r="C36" s="3">
        <f t="shared" si="3"/>
        <v>24526764</v>
      </c>
      <c r="D36" s="5">
        <f t="shared" si="4"/>
        <v>1.0592425774785077</v>
      </c>
      <c r="E36" s="18">
        <v>49.5</v>
      </c>
      <c r="F36" s="10">
        <v>1748885</v>
      </c>
      <c r="G36" s="12">
        <v>2787283</v>
      </c>
    </row>
    <row r="37" spans="1:7" ht="15.75" thickBot="1">
      <c r="A37" s="4">
        <v>37803</v>
      </c>
      <c r="B37" s="3">
        <f t="shared" si="2"/>
        <v>23780614</v>
      </c>
      <c r="C37" s="3">
        <f t="shared" si="3"/>
        <v>24413497</v>
      </c>
      <c r="D37" s="5">
        <f t="shared" si="4"/>
        <v>1.0266134003100171</v>
      </c>
      <c r="E37" s="18">
        <v>51.7</v>
      </c>
      <c r="F37" s="10">
        <v>2321255</v>
      </c>
      <c r="G37" s="12">
        <v>856491</v>
      </c>
    </row>
    <row r="38" spans="1:7" ht="15.75" thickBot="1">
      <c r="A38" s="4">
        <v>37834</v>
      </c>
      <c r="B38" s="3">
        <f t="shared" si="2"/>
        <v>24774557</v>
      </c>
      <c r="C38" s="3">
        <f t="shared" si="3"/>
        <v>24933718</v>
      </c>
      <c r="D38" s="5">
        <f t="shared" si="4"/>
        <v>1.0064243731986813</v>
      </c>
      <c r="E38" s="18">
        <v>52.4</v>
      </c>
      <c r="F38" s="10">
        <v>2357347</v>
      </c>
      <c r="G38" s="12">
        <v>1771247</v>
      </c>
    </row>
    <row r="39" spans="1:7" ht="15.75" thickBot="1">
      <c r="A39" s="4">
        <v>37865</v>
      </c>
      <c r="B39" s="3">
        <f t="shared" si="2"/>
        <v>25601894</v>
      </c>
      <c r="C39" s="3">
        <f t="shared" si="3"/>
        <v>24927188</v>
      </c>
      <c r="D39" s="5">
        <f t="shared" si="4"/>
        <v>0.97364624664097121</v>
      </c>
      <c r="E39" s="18">
        <v>50.5</v>
      </c>
      <c r="F39" s="10">
        <v>2343237</v>
      </c>
      <c r="G39" s="13">
        <v>2139062</v>
      </c>
    </row>
    <row r="40" spans="1:7" ht="15.75" thickBot="1">
      <c r="A40" s="4">
        <v>37895</v>
      </c>
      <c r="B40" s="3">
        <f t="shared" si="2"/>
        <v>25273956</v>
      </c>
      <c r="C40" s="3">
        <f t="shared" si="3"/>
        <v>25045220</v>
      </c>
      <c r="D40" s="5">
        <f t="shared" si="4"/>
        <v>0.99094973497619443</v>
      </c>
      <c r="E40" s="18">
        <v>53.2</v>
      </c>
      <c r="F40" s="10">
        <v>1974350</v>
      </c>
      <c r="G40" s="12">
        <v>1926900</v>
      </c>
    </row>
    <row r="41" spans="1:7" ht="15.75" thickBot="1">
      <c r="A41" s="4">
        <v>37926</v>
      </c>
      <c r="B41" s="3">
        <f t="shared" si="2"/>
        <v>25821898</v>
      </c>
      <c r="C41" s="3">
        <f t="shared" si="3"/>
        <v>25361148</v>
      </c>
      <c r="D41" s="5">
        <f t="shared" si="4"/>
        <v>0.98215661761191997</v>
      </c>
      <c r="E41" s="18">
        <v>57.1</v>
      </c>
      <c r="F41" s="10">
        <v>2401760</v>
      </c>
      <c r="G41" s="12">
        <v>2787437</v>
      </c>
    </row>
    <row r="42" spans="1:7" ht="15.75" thickBot="1">
      <c r="A42" s="4">
        <v>37956</v>
      </c>
      <c r="B42" s="3">
        <f t="shared" si="2"/>
        <v>25976510</v>
      </c>
      <c r="C42" s="3">
        <f t="shared" si="3"/>
        <v>24608560</v>
      </c>
      <c r="D42" s="5">
        <f t="shared" si="4"/>
        <v>0.94733896123844197</v>
      </c>
      <c r="E42" s="18">
        <v>57</v>
      </c>
      <c r="F42" s="10">
        <v>2021784</v>
      </c>
      <c r="G42" s="12">
        <v>1670844</v>
      </c>
    </row>
    <row r="43" spans="1:7" ht="15.75" thickBot="1">
      <c r="A43" s="4">
        <v>37987</v>
      </c>
      <c r="B43" s="3">
        <f t="shared" si="2"/>
        <v>25434976</v>
      </c>
      <c r="C43" s="3">
        <f t="shared" si="3"/>
        <v>25323891</v>
      </c>
      <c r="D43" s="5">
        <f t="shared" si="4"/>
        <v>0.99563258876281224</v>
      </c>
      <c r="E43" s="18">
        <v>57.7</v>
      </c>
      <c r="F43" s="10">
        <v>1653780</v>
      </c>
      <c r="G43" s="12">
        <v>2921652</v>
      </c>
    </row>
    <row r="44" spans="1:7" ht="15.75" thickBot="1">
      <c r="A44" s="4">
        <v>38018</v>
      </c>
      <c r="B44" s="3">
        <f t="shared" si="2"/>
        <v>25751715</v>
      </c>
      <c r="C44" s="3">
        <f t="shared" si="3"/>
        <v>26255184</v>
      </c>
      <c r="D44" s="5">
        <f t="shared" si="4"/>
        <v>1.0195508920473841</v>
      </c>
      <c r="E44" s="18">
        <v>56.5</v>
      </c>
      <c r="F44" s="10">
        <v>2674578</v>
      </c>
      <c r="G44" s="12">
        <v>2460653</v>
      </c>
    </row>
    <row r="45" spans="1:7" ht="15.75" thickBot="1">
      <c r="A45" s="4">
        <v>38047</v>
      </c>
      <c r="B45" s="3">
        <f t="shared" si="2"/>
        <v>25944364</v>
      </c>
      <c r="C45" s="3">
        <f t="shared" si="3"/>
        <v>26347887</v>
      </c>
      <c r="D45" s="5">
        <f t="shared" si="4"/>
        <v>1.0155533972619255</v>
      </c>
      <c r="E45" s="18">
        <v>61.1</v>
      </c>
      <c r="F45" s="10">
        <v>2625061</v>
      </c>
      <c r="G45" s="12">
        <v>2731178</v>
      </c>
    </row>
    <row r="46" spans="1:7" ht="15.75" thickBot="1">
      <c r="A46" s="4">
        <v>38078</v>
      </c>
      <c r="B46" s="3">
        <f t="shared" si="2"/>
        <v>26809962</v>
      </c>
      <c r="C46" s="3">
        <f t="shared" si="3"/>
        <v>27610605</v>
      </c>
      <c r="D46" s="5">
        <f t="shared" si="4"/>
        <v>1.0298636380014266</v>
      </c>
      <c r="E46" s="18">
        <v>60.8</v>
      </c>
      <c r="F46" s="10">
        <v>2729405</v>
      </c>
      <c r="G46" s="12">
        <v>3361753</v>
      </c>
    </row>
    <row r="47" spans="1:7" ht="15.75" thickBot="1">
      <c r="A47" s="4">
        <v>38108</v>
      </c>
      <c r="B47" s="3">
        <f t="shared" si="2"/>
        <v>27495468</v>
      </c>
      <c r="C47" s="3">
        <f t="shared" si="3"/>
        <v>27729017</v>
      </c>
      <c r="D47" s="5">
        <f t="shared" si="4"/>
        <v>1.008494090735244</v>
      </c>
      <c r="E47" s="18">
        <v>59.5</v>
      </c>
      <c r="F47" s="10">
        <v>2644026</v>
      </c>
      <c r="G47" s="12">
        <v>2314517</v>
      </c>
    </row>
    <row r="48" spans="1:7" ht="15.75" thickBot="1">
      <c r="A48" s="4">
        <v>38139</v>
      </c>
      <c r="B48" s="3">
        <f t="shared" si="2"/>
        <v>29047667</v>
      </c>
      <c r="C48" s="3">
        <f t="shared" si="3"/>
        <v>27240484</v>
      </c>
      <c r="D48" s="5">
        <f t="shared" si="4"/>
        <v>0.93778560598343408</v>
      </c>
      <c r="E48" s="18">
        <v>59.3</v>
      </c>
      <c r="F48" s="10">
        <v>3301084</v>
      </c>
      <c r="G48" s="12">
        <v>2298750</v>
      </c>
    </row>
    <row r="49" spans="1:7" ht="15.75" thickBot="1">
      <c r="A49" s="4">
        <v>38169</v>
      </c>
      <c r="B49" s="3">
        <f t="shared" si="2"/>
        <v>27516950</v>
      </c>
      <c r="C49" s="3">
        <f t="shared" si="3"/>
        <v>27056056</v>
      </c>
      <c r="D49" s="5">
        <f t="shared" si="4"/>
        <v>0.98325054193869599</v>
      </c>
      <c r="E49" s="18">
        <v>57.3</v>
      </c>
      <c r="F49" s="10">
        <v>790538</v>
      </c>
      <c r="G49" s="12">
        <v>672063</v>
      </c>
    </row>
    <row r="50" spans="1:7" ht="15.75" thickBot="1">
      <c r="A50" s="4">
        <v>38200</v>
      </c>
      <c r="B50" s="3">
        <f t="shared" ref="B50:B81" si="5">SUM(F39:F50)</f>
        <v>27224901</v>
      </c>
      <c r="C50" s="3">
        <f t="shared" ref="C50:C81" si="6">SUM(G39:G50)</f>
        <v>28165890</v>
      </c>
      <c r="D50" s="5">
        <f t="shared" ref="D50:D81" si="7">SUM(C50/B50)</f>
        <v>1.0345635416635675</v>
      </c>
      <c r="E50" s="18">
        <v>57.6</v>
      </c>
      <c r="F50" s="10">
        <v>2065298</v>
      </c>
      <c r="G50" s="12">
        <v>2881081</v>
      </c>
    </row>
    <row r="51" spans="1:7" ht="15.75" thickBot="1">
      <c r="A51" s="4">
        <v>38231</v>
      </c>
      <c r="B51" s="3">
        <f t="shared" si="5"/>
        <v>28109208</v>
      </c>
      <c r="C51" s="3">
        <f t="shared" si="6"/>
        <v>28803508</v>
      </c>
      <c r="D51" s="5">
        <f t="shared" si="7"/>
        <v>1.0247000911587405</v>
      </c>
      <c r="E51" s="18">
        <v>57.6</v>
      </c>
      <c r="F51" s="10">
        <v>3227544</v>
      </c>
      <c r="G51" s="13">
        <v>2776680</v>
      </c>
    </row>
    <row r="52" spans="1:7" ht="15.75" thickBot="1">
      <c r="A52" s="4">
        <v>38261</v>
      </c>
      <c r="B52" s="3">
        <f t="shared" si="5"/>
        <v>29187399</v>
      </c>
      <c r="C52" s="3">
        <f t="shared" si="6"/>
        <v>30297833</v>
      </c>
      <c r="D52" s="5">
        <f t="shared" si="7"/>
        <v>1.0380449796160323</v>
      </c>
      <c r="E52" s="18">
        <v>57.5</v>
      </c>
      <c r="F52" s="10">
        <v>3052541</v>
      </c>
      <c r="G52" s="12">
        <v>3421225</v>
      </c>
    </row>
    <row r="53" spans="1:7" ht="15.75" thickBot="1">
      <c r="A53" s="4">
        <v>38292</v>
      </c>
      <c r="B53" s="3">
        <f t="shared" si="5"/>
        <v>30182401</v>
      </c>
      <c r="C53" s="3">
        <f t="shared" si="6"/>
        <v>31962023</v>
      </c>
      <c r="D53" s="5">
        <f t="shared" si="7"/>
        <v>1.058962240942992</v>
      </c>
      <c r="E53" s="18">
        <v>55.3</v>
      </c>
      <c r="F53" s="10">
        <v>3396762</v>
      </c>
      <c r="G53" s="12">
        <v>4451627</v>
      </c>
    </row>
    <row r="54" spans="1:7" ht="15.75" thickBot="1">
      <c r="A54" s="4">
        <v>38322</v>
      </c>
      <c r="B54" s="3">
        <f t="shared" si="5"/>
        <v>31193814</v>
      </c>
      <c r="C54" s="3">
        <f t="shared" si="6"/>
        <v>32797566</v>
      </c>
      <c r="D54" s="5">
        <f t="shared" si="7"/>
        <v>1.0514125012093745</v>
      </c>
      <c r="E54" s="18">
        <v>56.3</v>
      </c>
      <c r="F54" s="10">
        <v>3033197</v>
      </c>
      <c r="G54" s="12">
        <v>2506387</v>
      </c>
    </row>
    <row r="55" spans="1:7" ht="15.75" thickBot="1">
      <c r="A55" s="4">
        <v>38353</v>
      </c>
      <c r="B55" s="3">
        <f t="shared" si="5"/>
        <v>31871429</v>
      </c>
      <c r="C55" s="3">
        <f t="shared" si="6"/>
        <v>32082975</v>
      </c>
      <c r="D55" s="5">
        <f t="shared" si="7"/>
        <v>1.006637480860993</v>
      </c>
      <c r="E55" s="18">
        <v>55.4</v>
      </c>
      <c r="F55" s="10">
        <v>2331395</v>
      </c>
      <c r="G55" s="12">
        <v>2207061</v>
      </c>
    </row>
    <row r="56" spans="1:7" ht="15.75" thickBot="1">
      <c r="A56" s="4">
        <v>38384</v>
      </c>
      <c r="B56" s="3">
        <f t="shared" si="5"/>
        <v>32212228</v>
      </c>
      <c r="C56" s="3">
        <f t="shared" si="6"/>
        <v>32717720</v>
      </c>
      <c r="D56" s="5">
        <f t="shared" si="7"/>
        <v>1.0156925500465228</v>
      </c>
      <c r="E56" s="18">
        <v>55</v>
      </c>
      <c r="F56" s="10">
        <v>3015377</v>
      </c>
      <c r="G56" s="12">
        <v>3095398</v>
      </c>
    </row>
    <row r="57" spans="1:7" ht="15.75" thickBot="1">
      <c r="A57" s="4">
        <v>38412</v>
      </c>
      <c r="B57" s="3">
        <f t="shared" si="5"/>
        <v>33368150</v>
      </c>
      <c r="C57" s="3">
        <f t="shared" si="6"/>
        <v>33183325</v>
      </c>
      <c r="D57" s="5">
        <f t="shared" si="7"/>
        <v>0.99446103544847408</v>
      </c>
      <c r="E57" s="18">
        <v>54.2</v>
      </c>
      <c r="F57" s="10">
        <v>3780983</v>
      </c>
      <c r="G57" s="12">
        <v>3196783</v>
      </c>
    </row>
    <row r="58" spans="1:7" ht="15.75" thickBot="1">
      <c r="A58" s="4">
        <v>38443</v>
      </c>
      <c r="B58" s="3">
        <f t="shared" si="5"/>
        <v>34632470</v>
      </c>
      <c r="C58" s="3">
        <f t="shared" si="6"/>
        <v>33486986</v>
      </c>
      <c r="D58" s="5">
        <f t="shared" si="7"/>
        <v>0.9669245652995585</v>
      </c>
      <c r="E58" s="18">
        <v>52.8</v>
      </c>
      <c r="F58" s="10">
        <v>3993725</v>
      </c>
      <c r="G58" s="12">
        <v>3665414</v>
      </c>
    </row>
    <row r="59" spans="1:7" ht="15.75" thickBot="1">
      <c r="A59" s="4">
        <v>38473</v>
      </c>
      <c r="B59" s="3">
        <f t="shared" si="5"/>
        <v>34565585</v>
      </c>
      <c r="C59" s="3">
        <f t="shared" si="6"/>
        <v>34439993</v>
      </c>
      <c r="D59" s="5">
        <f t="shared" si="7"/>
        <v>0.99636655939715757</v>
      </c>
      <c r="E59" s="18">
        <v>53</v>
      </c>
      <c r="F59" s="10">
        <v>2577141</v>
      </c>
      <c r="G59" s="12">
        <v>3267524</v>
      </c>
    </row>
    <row r="60" spans="1:7" ht="15.75" thickBot="1">
      <c r="A60" s="4">
        <v>38504</v>
      </c>
      <c r="B60" s="3">
        <f t="shared" si="5"/>
        <v>34684897.109999999</v>
      </c>
      <c r="C60" s="3">
        <f t="shared" si="6"/>
        <v>35445566.600000001</v>
      </c>
      <c r="D60" s="5">
        <f t="shared" si="7"/>
        <v>1.0219308561760356</v>
      </c>
      <c r="E60" s="18">
        <v>51.8</v>
      </c>
      <c r="F60" s="10">
        <v>3420396.11</v>
      </c>
      <c r="G60" s="12">
        <v>3304323.6</v>
      </c>
    </row>
    <row r="61" spans="1:7" ht="15.75" thickBot="1">
      <c r="A61" s="4">
        <v>38534</v>
      </c>
      <c r="B61" s="3">
        <f t="shared" si="5"/>
        <v>35534092.969999999</v>
      </c>
      <c r="C61" s="3">
        <f t="shared" si="6"/>
        <v>36317866.030000001</v>
      </c>
      <c r="D61" s="5">
        <f t="shared" si="7"/>
        <v>1.0220569316532635</v>
      </c>
      <c r="E61" s="18">
        <v>53.9</v>
      </c>
      <c r="F61" s="10">
        <v>1639733.86</v>
      </c>
      <c r="G61" s="12">
        <v>1544362.43</v>
      </c>
    </row>
    <row r="62" spans="1:7" ht="15.75" thickBot="1">
      <c r="A62" s="4">
        <v>38565</v>
      </c>
      <c r="B62" s="3">
        <f t="shared" si="5"/>
        <v>36276754.049999997</v>
      </c>
      <c r="C62" s="3">
        <f t="shared" si="6"/>
        <v>35757234.439999998</v>
      </c>
      <c r="D62" s="5">
        <f t="shared" si="7"/>
        <v>0.98567899406644954</v>
      </c>
      <c r="E62" s="18">
        <v>55.2</v>
      </c>
      <c r="F62" s="10">
        <v>2807959.08</v>
      </c>
      <c r="G62" s="12">
        <v>2320449.41</v>
      </c>
    </row>
    <row r="63" spans="1:7" ht="15.75" thickBot="1">
      <c r="A63" s="4">
        <v>38596</v>
      </c>
      <c r="B63" s="3">
        <f t="shared" si="5"/>
        <v>36132165.159999996</v>
      </c>
      <c r="C63" s="3">
        <f t="shared" si="6"/>
        <v>37399958.130000003</v>
      </c>
      <c r="D63" s="5">
        <f t="shared" si="7"/>
        <v>1.0350876556770396</v>
      </c>
      <c r="E63" s="18">
        <v>56.3</v>
      </c>
      <c r="F63" s="10">
        <v>3082955.11</v>
      </c>
      <c r="G63" s="13">
        <v>4419403.6900000004</v>
      </c>
    </row>
    <row r="64" spans="1:7" ht="15.75" thickBot="1">
      <c r="A64" s="4">
        <v>38626</v>
      </c>
      <c r="B64" s="3">
        <f t="shared" si="5"/>
        <v>35850653.549999997</v>
      </c>
      <c r="C64" s="3">
        <f t="shared" si="6"/>
        <v>35923676.200000003</v>
      </c>
      <c r="D64" s="5">
        <f t="shared" si="7"/>
        <v>1.002036856870633</v>
      </c>
      <c r="E64" s="18">
        <v>57.1</v>
      </c>
      <c r="F64" s="10">
        <v>2771029.39</v>
      </c>
      <c r="G64" s="12">
        <v>1944943.07</v>
      </c>
    </row>
    <row r="65" spans="1:7" ht="15.75" thickBot="1">
      <c r="A65" s="4">
        <v>38657</v>
      </c>
      <c r="B65" s="3">
        <f t="shared" si="5"/>
        <v>35280326.299999997</v>
      </c>
      <c r="C65" s="3">
        <f t="shared" si="6"/>
        <v>35272087.350000001</v>
      </c>
      <c r="D65" s="5">
        <f t="shared" si="7"/>
        <v>0.9997664718310727</v>
      </c>
      <c r="E65" s="18">
        <v>57.4</v>
      </c>
      <c r="F65" s="10">
        <v>2826434.75</v>
      </c>
      <c r="G65" s="12">
        <v>3800038.15</v>
      </c>
    </row>
    <row r="66" spans="1:7" ht="15.75" thickBot="1">
      <c r="A66" s="4">
        <v>38687</v>
      </c>
      <c r="B66" s="3">
        <f t="shared" si="5"/>
        <v>35737578.049999997</v>
      </c>
      <c r="C66" s="3">
        <f t="shared" si="6"/>
        <v>35767169.859999999</v>
      </c>
      <c r="D66" s="5">
        <f t="shared" si="7"/>
        <v>1.0008280306504991</v>
      </c>
      <c r="E66" s="18">
        <v>57.5</v>
      </c>
      <c r="F66" s="10">
        <v>3490448.75</v>
      </c>
      <c r="G66" s="12">
        <v>3001469.51</v>
      </c>
    </row>
    <row r="67" spans="1:7" ht="15.75" thickBot="1">
      <c r="A67" s="4">
        <v>38718</v>
      </c>
      <c r="B67" s="3">
        <f t="shared" si="5"/>
        <v>36419687.089999996</v>
      </c>
      <c r="C67" s="3">
        <f t="shared" si="6"/>
        <v>36662442.280000001</v>
      </c>
      <c r="D67" s="5">
        <f t="shared" si="7"/>
        <v>1.0066654935667105</v>
      </c>
      <c r="E67" s="18">
        <v>57.7</v>
      </c>
      <c r="F67" s="10">
        <v>3013504.04</v>
      </c>
      <c r="G67" s="12">
        <v>3102333.42</v>
      </c>
    </row>
    <row r="68" spans="1:7" ht="15.75" thickBot="1">
      <c r="A68" s="4">
        <v>38749</v>
      </c>
      <c r="B68" s="3">
        <f t="shared" si="5"/>
        <v>37402303.779999994</v>
      </c>
      <c r="C68" s="3">
        <f t="shared" si="6"/>
        <v>36679273.5</v>
      </c>
      <c r="D68" s="5">
        <f t="shared" si="7"/>
        <v>0.98066883034123109</v>
      </c>
      <c r="E68" s="18">
        <v>58.4</v>
      </c>
      <c r="F68" s="10">
        <v>3997993.69</v>
      </c>
      <c r="G68" s="12">
        <v>3112229.22</v>
      </c>
    </row>
    <row r="69" spans="1:7" ht="15.75" thickBot="1">
      <c r="A69" s="4">
        <v>38777</v>
      </c>
      <c r="B69" s="3">
        <f t="shared" si="5"/>
        <v>37153757.230000004</v>
      </c>
      <c r="C69" s="3">
        <f t="shared" si="6"/>
        <v>37076795.170000002</v>
      </c>
      <c r="D69" s="5">
        <f t="shared" si="7"/>
        <v>0.99792855243351108</v>
      </c>
      <c r="E69" s="18">
        <v>61.7</v>
      </c>
      <c r="F69" s="10">
        <v>3532436.45</v>
      </c>
      <c r="G69" s="12">
        <v>3594304.67</v>
      </c>
    </row>
    <row r="70" spans="1:7" ht="15.75" thickBot="1">
      <c r="A70" s="4">
        <v>38808</v>
      </c>
      <c r="B70" s="3">
        <f t="shared" si="5"/>
        <v>36541966.609999999</v>
      </c>
      <c r="C70" s="3">
        <f t="shared" si="6"/>
        <v>36640779.090000004</v>
      </c>
      <c r="D70" s="5">
        <f t="shared" si="7"/>
        <v>1.0027040821599613</v>
      </c>
      <c r="E70" s="18">
        <v>61</v>
      </c>
      <c r="F70" s="10">
        <v>3381934.38</v>
      </c>
      <c r="G70" s="12">
        <v>3229397.92</v>
      </c>
    </row>
    <row r="71" spans="1:7" ht="15.75" thickBot="1">
      <c r="A71" s="4">
        <v>38838</v>
      </c>
      <c r="B71" s="3">
        <f t="shared" si="5"/>
        <v>37523781.789999999</v>
      </c>
      <c r="C71" s="3">
        <f t="shared" si="6"/>
        <v>36105076.310000002</v>
      </c>
      <c r="D71" s="5">
        <f t="shared" si="7"/>
        <v>0.96219183109155382</v>
      </c>
      <c r="E71" s="18">
        <v>61.9</v>
      </c>
      <c r="F71" s="10">
        <v>3558956.18</v>
      </c>
      <c r="G71" s="12">
        <v>2731821.22</v>
      </c>
    </row>
    <row r="72" spans="1:7" ht="15.75" thickBot="1">
      <c r="A72" s="4">
        <v>38869</v>
      </c>
      <c r="B72" s="3">
        <f t="shared" si="5"/>
        <v>36526841.68</v>
      </c>
      <c r="C72" s="3">
        <f t="shared" si="6"/>
        <v>36564468.870000005</v>
      </c>
      <c r="D72" s="5">
        <f t="shared" si="7"/>
        <v>1.0010301243761957</v>
      </c>
      <c r="E72" s="18">
        <v>62.8</v>
      </c>
      <c r="F72" s="10">
        <v>2423456</v>
      </c>
      <c r="G72" s="12">
        <v>3763716.16</v>
      </c>
    </row>
    <row r="73" spans="1:7" ht="15.75" thickBot="1">
      <c r="A73" s="4">
        <v>38899</v>
      </c>
      <c r="B73" s="3">
        <f t="shared" si="5"/>
        <v>36747823.289999999</v>
      </c>
      <c r="C73" s="3">
        <f t="shared" si="6"/>
        <v>37199615.559999995</v>
      </c>
      <c r="D73" s="5">
        <f t="shared" si="7"/>
        <v>1.0122943954104335</v>
      </c>
      <c r="E73" s="18">
        <v>62.5</v>
      </c>
      <c r="F73" s="10">
        <v>1860715.47</v>
      </c>
      <c r="G73" s="12">
        <v>2179509.12</v>
      </c>
    </row>
    <row r="74" spans="1:7" ht="15.75" thickBot="1">
      <c r="A74" s="4">
        <v>38930</v>
      </c>
      <c r="B74" s="3">
        <f t="shared" si="5"/>
        <v>36452222.859999999</v>
      </c>
      <c r="C74" s="3">
        <f t="shared" si="6"/>
        <v>37459460.789999999</v>
      </c>
      <c r="D74" s="5">
        <f t="shared" si="7"/>
        <v>1.0276317286292374</v>
      </c>
      <c r="E74" s="18">
        <v>61.2</v>
      </c>
      <c r="F74" s="10">
        <v>2512358.65</v>
      </c>
      <c r="G74" s="12">
        <v>2580294.64</v>
      </c>
    </row>
    <row r="75" spans="1:7" ht="15.75" thickBot="1">
      <c r="A75" s="4">
        <v>38961</v>
      </c>
      <c r="B75" s="3">
        <f t="shared" si="5"/>
        <v>36421138.269999996</v>
      </c>
      <c r="C75" s="3">
        <f t="shared" si="6"/>
        <v>36724533.810000002</v>
      </c>
      <c r="D75" s="5">
        <f t="shared" si="7"/>
        <v>1.0083302047769855</v>
      </c>
      <c r="E75" s="18">
        <v>61.6</v>
      </c>
      <c r="F75" s="10">
        <v>3051870.52</v>
      </c>
      <c r="G75" s="13">
        <v>3684476.71</v>
      </c>
    </row>
    <row r="76" spans="1:7" ht="15.75" thickBot="1">
      <c r="A76" s="4">
        <v>38991</v>
      </c>
      <c r="B76" s="3">
        <f t="shared" si="5"/>
        <v>37532324.879999995</v>
      </c>
      <c r="C76" s="3">
        <f t="shared" si="6"/>
        <v>39358866.740000002</v>
      </c>
      <c r="D76" s="5">
        <f t="shared" si="7"/>
        <v>1.0486658331408967</v>
      </c>
      <c r="E76" s="18">
        <v>59.6</v>
      </c>
      <c r="F76" s="10">
        <v>3882216</v>
      </c>
      <c r="G76" s="12">
        <v>4579276</v>
      </c>
    </row>
    <row r="77" spans="1:7" ht="15.75" thickBot="1">
      <c r="A77" s="4">
        <v>39022</v>
      </c>
      <c r="B77" s="3">
        <f t="shared" si="5"/>
        <v>38853371.479999997</v>
      </c>
      <c r="C77" s="3">
        <f t="shared" si="6"/>
        <v>38920807.180000007</v>
      </c>
      <c r="D77" s="5">
        <f t="shared" si="7"/>
        <v>1.0017356460309943</v>
      </c>
      <c r="E77" s="18">
        <v>63.2</v>
      </c>
      <c r="F77" s="10">
        <v>4147481.35</v>
      </c>
      <c r="G77" s="12">
        <v>3361978.59</v>
      </c>
    </row>
    <row r="78" spans="1:7" ht="15.75" thickBot="1">
      <c r="A78" s="4">
        <v>39052</v>
      </c>
      <c r="B78" s="3">
        <f t="shared" si="5"/>
        <v>40722239.699999996</v>
      </c>
      <c r="C78" s="3">
        <f t="shared" si="6"/>
        <v>39242119.060000002</v>
      </c>
      <c r="D78" s="5">
        <f t="shared" si="7"/>
        <v>0.96365326045659538</v>
      </c>
      <c r="E78" s="18">
        <v>63.8</v>
      </c>
      <c r="F78" s="10">
        <v>5359316.97</v>
      </c>
      <c r="G78" s="12">
        <v>3322781.39</v>
      </c>
    </row>
    <row r="79" spans="1:7" ht="15.75" thickBot="1">
      <c r="A79" s="4">
        <v>39083</v>
      </c>
      <c r="B79" s="3">
        <f t="shared" si="5"/>
        <v>41108152.659999996</v>
      </c>
      <c r="C79" s="3">
        <f t="shared" si="6"/>
        <v>39117986.640000001</v>
      </c>
      <c r="D79" s="5">
        <f t="shared" si="7"/>
        <v>0.95158707236347029</v>
      </c>
      <c r="E79" s="18">
        <v>61.8</v>
      </c>
      <c r="F79" s="10">
        <v>3399417</v>
      </c>
      <c r="G79" s="12">
        <v>2978201</v>
      </c>
    </row>
    <row r="80" spans="1:7" ht="15.75" thickBot="1">
      <c r="A80" s="4">
        <v>39114</v>
      </c>
      <c r="B80" s="3">
        <f t="shared" si="5"/>
        <v>40203900.969999999</v>
      </c>
      <c r="C80" s="3">
        <f t="shared" si="6"/>
        <v>39488170.420000002</v>
      </c>
      <c r="D80" s="5">
        <f t="shared" si="7"/>
        <v>0.98219748500191384</v>
      </c>
      <c r="E80" s="18">
        <v>63.1</v>
      </c>
      <c r="F80" s="10">
        <v>3093742</v>
      </c>
      <c r="G80" s="12">
        <v>3482413</v>
      </c>
    </row>
    <row r="81" spans="1:7" ht="15.75" thickBot="1">
      <c r="A81" s="4">
        <v>39142</v>
      </c>
      <c r="B81" s="3">
        <f t="shared" si="5"/>
        <v>41003430.620000005</v>
      </c>
      <c r="C81" s="3">
        <f t="shared" si="6"/>
        <v>40309225.340000004</v>
      </c>
      <c r="D81" s="5">
        <f t="shared" si="7"/>
        <v>0.98306958053257643</v>
      </c>
      <c r="E81" s="18">
        <v>59.9</v>
      </c>
      <c r="F81" s="10">
        <v>4331966.0999999996</v>
      </c>
      <c r="G81" s="12">
        <v>4415359.59</v>
      </c>
    </row>
    <row r="82" spans="1:7" ht="15.75" thickBot="1">
      <c r="A82" s="4">
        <v>39173</v>
      </c>
      <c r="B82" s="3">
        <f t="shared" ref="B82:B113" si="8">SUM(F71:F82)</f>
        <v>40581025.240000002</v>
      </c>
      <c r="C82" s="3">
        <f t="shared" ref="C82:C113" si="9">SUM(G71:G82)</f>
        <v>40116476.420000002</v>
      </c>
      <c r="D82" s="5">
        <f t="shared" ref="D82:D113" si="10">SUM(C82/B82)</f>
        <v>0.98855256077803322</v>
      </c>
      <c r="E82" s="18">
        <v>59.5</v>
      </c>
      <c r="F82" s="10">
        <v>2959529</v>
      </c>
      <c r="G82" s="12">
        <v>3036649</v>
      </c>
    </row>
    <row r="83" spans="1:7" ht="15.75" thickBot="1">
      <c r="A83" s="4">
        <v>39203</v>
      </c>
      <c r="B83" s="3">
        <f t="shared" si="8"/>
        <v>41399075.059999995</v>
      </c>
      <c r="C83" s="3">
        <f t="shared" si="9"/>
        <v>42032481.200000003</v>
      </c>
      <c r="D83" s="5">
        <f t="shared" si="10"/>
        <v>1.015300007043201</v>
      </c>
      <c r="E83" s="18">
        <v>58.8</v>
      </c>
      <c r="F83" s="10">
        <v>4377006</v>
      </c>
      <c r="G83" s="12">
        <v>4647826</v>
      </c>
    </row>
    <row r="84" spans="1:7" ht="15.75" thickBot="1">
      <c r="A84" s="4">
        <v>39234</v>
      </c>
      <c r="B84" s="3">
        <f t="shared" si="8"/>
        <v>42251716.060000002</v>
      </c>
      <c r="C84" s="3">
        <f t="shared" si="9"/>
        <v>44437013.839999996</v>
      </c>
      <c r="D84" s="5">
        <f t="shared" si="10"/>
        <v>1.051720923640042</v>
      </c>
      <c r="E84" s="18">
        <v>58.9</v>
      </c>
      <c r="F84" s="10">
        <v>3276097</v>
      </c>
      <c r="G84" s="12">
        <v>6168248.7999999998</v>
      </c>
    </row>
    <row r="85" spans="1:7" ht="15.75" thickBot="1">
      <c r="A85" s="4">
        <v>39264</v>
      </c>
      <c r="B85" s="3">
        <f t="shared" si="8"/>
        <v>41964965.589999996</v>
      </c>
      <c r="C85" s="3">
        <f t="shared" si="9"/>
        <v>44838090.719999999</v>
      </c>
      <c r="D85" s="5">
        <f t="shared" si="10"/>
        <v>1.0684648513255222</v>
      </c>
      <c r="E85" s="18">
        <v>58.1</v>
      </c>
      <c r="F85" s="10">
        <v>1573965</v>
      </c>
      <c r="G85" s="12">
        <v>2580586</v>
      </c>
    </row>
    <row r="86" spans="1:7" ht="15.75" thickBot="1">
      <c r="A86" s="4">
        <v>39295</v>
      </c>
      <c r="B86" s="3">
        <f t="shared" si="8"/>
        <v>42959652.710000001</v>
      </c>
      <c r="C86" s="3">
        <f t="shared" si="9"/>
        <v>45904869.019999996</v>
      </c>
      <c r="D86" s="5">
        <f t="shared" si="10"/>
        <v>1.0685577308988445</v>
      </c>
      <c r="E86" s="18">
        <v>57.4</v>
      </c>
      <c r="F86" s="10">
        <v>3507045.77</v>
      </c>
      <c r="G86" s="12">
        <v>3647072.94</v>
      </c>
    </row>
    <row r="87" spans="1:7" ht="15.75" thickBot="1">
      <c r="A87" s="4">
        <v>39326</v>
      </c>
      <c r="B87" s="3">
        <f t="shared" si="8"/>
        <v>44202940.720000006</v>
      </c>
      <c r="C87" s="3">
        <f t="shared" si="9"/>
        <v>45959908.569999993</v>
      </c>
      <c r="D87" s="5">
        <f t="shared" si="10"/>
        <v>1.039747759343193</v>
      </c>
      <c r="E87" s="18">
        <v>57.6</v>
      </c>
      <c r="F87" s="10">
        <v>4295158.53</v>
      </c>
      <c r="G87" s="13">
        <v>3739516.26</v>
      </c>
    </row>
    <row r="88" spans="1:7" ht="15.75" thickBot="1">
      <c r="A88" s="4">
        <v>39356</v>
      </c>
      <c r="B88" s="3">
        <f t="shared" si="8"/>
        <v>45610986.720000006</v>
      </c>
      <c r="C88" s="3">
        <f t="shared" si="9"/>
        <v>46192329.57</v>
      </c>
      <c r="D88" s="5">
        <f t="shared" si="10"/>
        <v>1.0127456758076465</v>
      </c>
      <c r="E88" s="18">
        <v>58.5</v>
      </c>
      <c r="F88" s="10">
        <v>5290262</v>
      </c>
      <c r="G88" s="12">
        <v>4811697</v>
      </c>
    </row>
    <row r="89" spans="1:7" ht="15.75" thickBot="1">
      <c r="A89" s="4">
        <v>39387</v>
      </c>
      <c r="B89" s="3">
        <f t="shared" si="8"/>
        <v>46041948.839999996</v>
      </c>
      <c r="C89" s="3">
        <f t="shared" si="9"/>
        <v>47613270.809999995</v>
      </c>
      <c r="D89" s="5">
        <f t="shared" si="10"/>
        <v>1.0341280508229678</v>
      </c>
      <c r="E89" s="18">
        <v>57.2</v>
      </c>
      <c r="F89" s="10">
        <v>4578443.47</v>
      </c>
      <c r="G89" s="12">
        <v>4782919.83</v>
      </c>
    </row>
    <row r="90" spans="1:7" ht="15.75" thickBot="1">
      <c r="A90" s="4">
        <v>39417</v>
      </c>
      <c r="B90" s="3">
        <f t="shared" si="8"/>
        <v>44939359.220000006</v>
      </c>
      <c r="C90" s="3">
        <f t="shared" si="9"/>
        <v>46818500.260000005</v>
      </c>
      <c r="D90" s="5">
        <f t="shared" si="10"/>
        <v>1.0418150385901297</v>
      </c>
      <c r="E90" s="18">
        <v>56.7</v>
      </c>
      <c r="F90" s="10">
        <v>4256727.3499999996</v>
      </c>
      <c r="G90" s="12">
        <v>2528010.84</v>
      </c>
    </row>
    <row r="91" spans="1:7" ht="15.75" thickBot="1">
      <c r="A91" s="4">
        <v>39448</v>
      </c>
      <c r="B91" s="3">
        <f t="shared" si="8"/>
        <v>45764856.220000006</v>
      </c>
      <c r="C91" s="3">
        <f t="shared" si="9"/>
        <v>48392374.260000005</v>
      </c>
      <c r="D91" s="5">
        <f t="shared" si="10"/>
        <v>1.0574134446608778</v>
      </c>
      <c r="E91" s="18">
        <v>55.2</v>
      </c>
      <c r="F91" s="10">
        <v>4224914</v>
      </c>
      <c r="G91" s="12">
        <v>4552075</v>
      </c>
    </row>
    <row r="92" spans="1:7" ht="15.75" thickBot="1">
      <c r="A92" s="4">
        <v>39479</v>
      </c>
      <c r="B92" s="3">
        <f t="shared" si="8"/>
        <v>49152083.220000006</v>
      </c>
      <c r="C92" s="3">
        <f t="shared" si="9"/>
        <v>49762660.260000005</v>
      </c>
      <c r="D92" s="5">
        <f t="shared" si="10"/>
        <v>1.0124222006474703</v>
      </c>
      <c r="E92" s="18">
        <v>55.8</v>
      </c>
      <c r="F92" s="10">
        <v>6480969</v>
      </c>
      <c r="G92" s="12">
        <v>4852699</v>
      </c>
    </row>
    <row r="93" spans="1:7" ht="15.75" thickBot="1">
      <c r="A93" s="4">
        <v>39508</v>
      </c>
      <c r="B93" s="3">
        <f t="shared" si="8"/>
        <v>48407579.119999997</v>
      </c>
      <c r="C93" s="3">
        <f t="shared" si="9"/>
        <v>49561031.670000002</v>
      </c>
      <c r="D93" s="5">
        <f t="shared" si="10"/>
        <v>1.0238279329594371</v>
      </c>
      <c r="E93" s="18">
        <v>54.6</v>
      </c>
      <c r="F93" s="10">
        <v>3587462</v>
      </c>
      <c r="G93" s="12">
        <v>4213731</v>
      </c>
    </row>
    <row r="94" spans="1:7" ht="15.75" thickBot="1">
      <c r="A94" s="4">
        <v>39539</v>
      </c>
      <c r="B94" s="3">
        <f t="shared" si="8"/>
        <v>50916207.119999997</v>
      </c>
      <c r="C94" s="3">
        <f t="shared" si="9"/>
        <v>52912046.670000002</v>
      </c>
      <c r="D94" s="5">
        <f t="shared" si="10"/>
        <v>1.0391985118863269</v>
      </c>
      <c r="E94" s="18">
        <v>50.7</v>
      </c>
      <c r="F94" s="10">
        <v>5468157</v>
      </c>
      <c r="G94" s="12">
        <v>6387664</v>
      </c>
    </row>
    <row r="95" spans="1:7" ht="15.75" thickBot="1">
      <c r="A95" s="4">
        <v>39569</v>
      </c>
      <c r="B95" s="3">
        <f t="shared" si="8"/>
        <v>51699398.119999997</v>
      </c>
      <c r="C95" s="3">
        <f t="shared" si="9"/>
        <v>52216726.670000002</v>
      </c>
      <c r="D95" s="5">
        <f t="shared" si="10"/>
        <v>1.0100064714254358</v>
      </c>
      <c r="E95" s="18">
        <v>50.5</v>
      </c>
      <c r="F95" s="10">
        <v>5160197</v>
      </c>
      <c r="G95" s="12">
        <v>3952506</v>
      </c>
    </row>
    <row r="96" spans="1:7" ht="15.75" thickBot="1">
      <c r="A96" s="4">
        <v>39600</v>
      </c>
      <c r="B96" s="3">
        <f t="shared" si="8"/>
        <v>52085693.119999997</v>
      </c>
      <c r="C96" s="3">
        <f t="shared" si="9"/>
        <v>50488021.870000005</v>
      </c>
      <c r="D96" s="5">
        <f t="shared" si="10"/>
        <v>0.96932610177003642</v>
      </c>
      <c r="E96" s="18">
        <v>48.8</v>
      </c>
      <c r="F96" s="10">
        <v>3662392</v>
      </c>
      <c r="G96" s="12">
        <v>4439544</v>
      </c>
    </row>
    <row r="97" spans="1:7" ht="15.75" thickBot="1">
      <c r="A97" s="4">
        <v>39630</v>
      </c>
      <c r="B97" s="3">
        <f t="shared" si="8"/>
        <v>53022101.119999997</v>
      </c>
      <c r="C97" s="3">
        <f t="shared" si="9"/>
        <v>50790608.870000005</v>
      </c>
      <c r="D97" s="5">
        <f t="shared" si="10"/>
        <v>0.95791392263106168</v>
      </c>
      <c r="E97" s="18">
        <v>45.5</v>
      </c>
      <c r="F97" s="10">
        <v>2510373</v>
      </c>
      <c r="G97" s="12">
        <v>2883173</v>
      </c>
    </row>
    <row r="98" spans="1:7" ht="15.75" thickBot="1">
      <c r="A98" s="4">
        <v>39661</v>
      </c>
      <c r="B98" s="3">
        <f t="shared" si="8"/>
        <v>54345540.350000001</v>
      </c>
      <c r="C98" s="3">
        <f t="shared" si="9"/>
        <v>50820353.93</v>
      </c>
      <c r="D98" s="5">
        <f t="shared" si="10"/>
        <v>0.93513384175965786</v>
      </c>
      <c r="E98" s="18">
        <v>46.9</v>
      </c>
      <c r="F98" s="10">
        <v>4830485</v>
      </c>
      <c r="G98" s="12">
        <v>3676818</v>
      </c>
    </row>
    <row r="99" spans="1:7" ht="15.75" thickBot="1">
      <c r="A99" s="4">
        <v>39692</v>
      </c>
      <c r="B99" s="3">
        <f t="shared" si="8"/>
        <v>54179764.82</v>
      </c>
      <c r="C99" s="3">
        <f t="shared" si="9"/>
        <v>50738677.670000002</v>
      </c>
      <c r="D99" s="5">
        <f t="shared" si="10"/>
        <v>0.93648759529628389</v>
      </c>
      <c r="E99" s="18">
        <v>41.4</v>
      </c>
      <c r="F99" s="10">
        <v>4129383</v>
      </c>
      <c r="G99" s="13">
        <v>3657840</v>
      </c>
    </row>
    <row r="100" spans="1:7" ht="15.75" thickBot="1">
      <c r="A100" s="4">
        <v>39722</v>
      </c>
      <c r="B100" s="3">
        <f t="shared" si="8"/>
        <v>54160762.82</v>
      </c>
      <c r="C100" s="3">
        <f t="shared" si="9"/>
        <v>51919080.670000002</v>
      </c>
      <c r="D100" s="5">
        <f t="shared" si="10"/>
        <v>0.95861058756779161</v>
      </c>
      <c r="E100" s="18">
        <v>38.1</v>
      </c>
      <c r="F100" s="10">
        <v>5271260</v>
      </c>
      <c r="G100" s="13">
        <v>5992100</v>
      </c>
    </row>
    <row r="101" spans="1:7" ht="15.75" thickBot="1">
      <c r="A101" s="4">
        <v>39753</v>
      </c>
      <c r="B101" s="3">
        <f t="shared" si="8"/>
        <v>53182484.350000001</v>
      </c>
      <c r="C101" s="3">
        <f t="shared" si="9"/>
        <v>49211600.840000004</v>
      </c>
      <c r="D101" s="5">
        <f t="shared" si="10"/>
        <v>0.92533474961667528</v>
      </c>
      <c r="E101" s="18">
        <v>35</v>
      </c>
      <c r="F101" s="10">
        <v>3600165</v>
      </c>
      <c r="G101" s="12">
        <v>2075440</v>
      </c>
    </row>
    <row r="102" spans="1:7" ht="15.75" thickBot="1">
      <c r="A102" s="4">
        <v>39783</v>
      </c>
      <c r="B102" s="3">
        <f t="shared" si="8"/>
        <v>51182722</v>
      </c>
      <c r="C102" s="3">
        <f t="shared" si="9"/>
        <v>49006229</v>
      </c>
      <c r="D102" s="5">
        <f t="shared" si="10"/>
        <v>0.95747602091190065</v>
      </c>
      <c r="E102" s="18">
        <v>34</v>
      </c>
      <c r="F102" s="10">
        <v>2256965</v>
      </c>
      <c r="G102" s="12">
        <v>2322639</v>
      </c>
    </row>
    <row r="103" spans="1:7" ht="15.75" thickBot="1">
      <c r="A103" s="4">
        <v>39814</v>
      </c>
      <c r="B103" s="3">
        <f t="shared" si="8"/>
        <v>50158572</v>
      </c>
      <c r="C103" s="3">
        <f t="shared" si="9"/>
        <v>46831712</v>
      </c>
      <c r="D103" s="5">
        <f t="shared" si="10"/>
        <v>0.93367315162002618</v>
      </c>
      <c r="E103" s="18">
        <v>34.200000000000003</v>
      </c>
      <c r="F103" s="10">
        <v>3200764</v>
      </c>
      <c r="G103" s="13">
        <v>2377558</v>
      </c>
    </row>
    <row r="104" spans="1:7" ht="15.75" thickBot="1">
      <c r="A104" s="4">
        <v>39845</v>
      </c>
      <c r="B104" s="3">
        <f t="shared" si="8"/>
        <v>46053117</v>
      </c>
      <c r="C104" s="3">
        <f t="shared" si="9"/>
        <v>44753889</v>
      </c>
      <c r="D104" s="5">
        <f t="shared" si="10"/>
        <v>0.97178848936544293</v>
      </c>
      <c r="E104" s="18">
        <v>34.1</v>
      </c>
      <c r="F104" s="10">
        <v>2375514</v>
      </c>
      <c r="G104" s="13">
        <v>2774876</v>
      </c>
    </row>
    <row r="105" spans="1:7" ht="15.75" thickBot="1">
      <c r="A105" s="4">
        <v>39873</v>
      </c>
      <c r="B105" s="3">
        <f t="shared" si="8"/>
        <v>45360564</v>
      </c>
      <c r="C105" s="3">
        <f t="shared" si="9"/>
        <v>42206021</v>
      </c>
      <c r="D105" s="5">
        <f t="shared" si="10"/>
        <v>0.93045626593179043</v>
      </c>
      <c r="E105" s="18">
        <v>37.1</v>
      </c>
      <c r="F105" s="10">
        <v>2894909</v>
      </c>
      <c r="G105" s="12">
        <v>1665863</v>
      </c>
    </row>
    <row r="106" spans="1:7" ht="15.75" thickBot="1">
      <c r="A106" s="4">
        <v>39904</v>
      </c>
      <c r="B106" s="3">
        <f t="shared" si="8"/>
        <v>42280220</v>
      </c>
      <c r="C106" s="3">
        <f t="shared" si="9"/>
        <v>37930837</v>
      </c>
      <c r="D106" s="5">
        <f t="shared" si="10"/>
        <v>0.89712960339373826</v>
      </c>
      <c r="E106" s="18">
        <v>39.299999999999997</v>
      </c>
      <c r="F106" s="10">
        <v>2387813</v>
      </c>
      <c r="G106" s="12">
        <v>2112480</v>
      </c>
    </row>
    <row r="107" spans="1:7" ht="15.75" thickBot="1">
      <c r="A107" s="4">
        <v>39934</v>
      </c>
      <c r="B107" s="3">
        <f t="shared" si="8"/>
        <v>39405369</v>
      </c>
      <c r="C107" s="3">
        <f t="shared" si="9"/>
        <v>36067661</v>
      </c>
      <c r="D107" s="5">
        <f t="shared" si="10"/>
        <v>0.91529814122537467</v>
      </c>
      <c r="E107" s="18">
        <v>43.4</v>
      </c>
      <c r="F107" s="10">
        <v>2285346</v>
      </c>
      <c r="G107" s="12">
        <v>2089330</v>
      </c>
    </row>
    <row r="108" spans="1:7" ht="15.75" thickBot="1">
      <c r="A108" s="4">
        <v>39965</v>
      </c>
      <c r="B108" s="3">
        <f t="shared" si="8"/>
        <v>38586715</v>
      </c>
      <c r="C108" s="3">
        <f t="shared" si="9"/>
        <v>33936509</v>
      </c>
      <c r="D108" s="5">
        <f t="shared" si="10"/>
        <v>0.87948686484454563</v>
      </c>
      <c r="E108" s="18">
        <v>49.6</v>
      </c>
      <c r="F108" s="10">
        <v>2843738</v>
      </c>
      <c r="G108" s="12">
        <v>2308392</v>
      </c>
    </row>
    <row r="109" spans="1:7" ht="15.75" thickBot="1">
      <c r="A109" s="4">
        <v>39995</v>
      </c>
      <c r="B109" s="3">
        <f t="shared" si="8"/>
        <v>37235292</v>
      </c>
      <c r="C109" s="3">
        <f t="shared" si="9"/>
        <v>31988840</v>
      </c>
      <c r="D109" s="5">
        <f t="shared" si="10"/>
        <v>0.85910001726319218</v>
      </c>
      <c r="E109" s="18">
        <v>52</v>
      </c>
      <c r="F109" s="10">
        <v>1158950</v>
      </c>
      <c r="G109" s="12">
        <v>935504</v>
      </c>
    </row>
    <row r="110" spans="1:7" ht="15.75" thickBot="1">
      <c r="A110" s="4">
        <v>40026</v>
      </c>
      <c r="B110" s="3">
        <f t="shared" si="8"/>
        <v>33724702</v>
      </c>
      <c r="C110" s="3">
        <f t="shared" si="9"/>
        <v>29881293</v>
      </c>
      <c r="D110" s="5">
        <f t="shared" si="10"/>
        <v>0.88603579062018101</v>
      </c>
      <c r="E110" s="18">
        <v>54.1</v>
      </c>
      <c r="F110" s="10">
        <v>1319895</v>
      </c>
      <c r="G110" s="12">
        <v>1569271</v>
      </c>
    </row>
    <row r="111" spans="1:7" ht="15.75" thickBot="1">
      <c r="A111" s="4">
        <v>40057</v>
      </c>
      <c r="B111" s="3">
        <f t="shared" si="8"/>
        <v>32249667</v>
      </c>
      <c r="C111" s="3">
        <f t="shared" si="9"/>
        <v>28387107</v>
      </c>
      <c r="D111" s="5">
        <f t="shared" si="10"/>
        <v>0.88022946097396915</v>
      </c>
      <c r="E111" s="18">
        <v>56.1</v>
      </c>
      <c r="F111" s="10">
        <v>2654348</v>
      </c>
      <c r="G111" s="12">
        <v>2163654</v>
      </c>
    </row>
    <row r="112" spans="1:7" ht="15.75" thickBot="1">
      <c r="A112" s="4">
        <v>40087</v>
      </c>
      <c r="B112" s="3">
        <f t="shared" si="8"/>
        <v>28898971</v>
      </c>
      <c r="C112" s="3">
        <f t="shared" si="9"/>
        <v>24485571</v>
      </c>
      <c r="D112" s="5">
        <f t="shared" si="10"/>
        <v>0.84728175961697738</v>
      </c>
      <c r="E112" s="18">
        <v>57.1</v>
      </c>
      <c r="F112" s="10">
        <v>1920564</v>
      </c>
      <c r="G112" s="12">
        <v>2090564</v>
      </c>
    </row>
    <row r="113" spans="1:7" ht="15.75" thickBot="1">
      <c r="A113" s="4">
        <v>40118</v>
      </c>
      <c r="B113" s="3">
        <f t="shared" si="8"/>
        <v>27643195</v>
      </c>
      <c r="C113" s="3">
        <f t="shared" si="9"/>
        <v>25269648</v>
      </c>
      <c r="D113" s="5">
        <f t="shared" si="10"/>
        <v>0.91413630009121594</v>
      </c>
      <c r="E113" s="18">
        <v>58.5</v>
      </c>
      <c r="F113" s="10">
        <v>2344389</v>
      </c>
      <c r="G113" s="12">
        <v>2859517</v>
      </c>
    </row>
    <row r="114" spans="1:7" ht="15.75" thickBot="1">
      <c r="A114" s="4">
        <v>40148</v>
      </c>
      <c r="B114" s="3">
        <f t="shared" ref="B114:B145" si="11">SUM(F103:F114)</f>
        <v>27791178</v>
      </c>
      <c r="C114" s="3">
        <f t="shared" ref="C114:C145" si="12">SUM(G103:G114)</f>
        <v>26099522</v>
      </c>
      <c r="D114" s="5">
        <f t="shared" ref="D114:D145" si="13">SUM(C114/B114)</f>
        <v>0.93912974829638385</v>
      </c>
      <c r="E114" s="18">
        <v>59.9</v>
      </c>
      <c r="F114" s="10">
        <v>2404948</v>
      </c>
      <c r="G114" s="12">
        <v>3152513</v>
      </c>
    </row>
    <row r="115" spans="1:7" ht="15.75" thickBot="1">
      <c r="A115" s="4">
        <v>40179</v>
      </c>
      <c r="B115" s="3">
        <f t="shared" si="11"/>
        <v>26554052</v>
      </c>
      <c r="C115" s="3">
        <f t="shared" si="12"/>
        <v>25317305</v>
      </c>
      <c r="D115" s="5">
        <f t="shared" si="13"/>
        <v>0.95342530021406902</v>
      </c>
      <c r="E115" s="18">
        <v>61.9</v>
      </c>
      <c r="F115" s="10">
        <v>1963638</v>
      </c>
      <c r="G115" s="12">
        <v>1595341</v>
      </c>
    </row>
    <row r="116" spans="1:7" ht="15.75" thickBot="1">
      <c r="A116" s="4">
        <v>40210</v>
      </c>
      <c r="B116" s="3">
        <f t="shared" si="11"/>
        <v>26540834</v>
      </c>
      <c r="C116" s="3">
        <f t="shared" si="12"/>
        <v>25778018</v>
      </c>
      <c r="D116" s="5">
        <f t="shared" si="13"/>
        <v>0.9712587780775841</v>
      </c>
      <c r="E116" s="18">
        <v>61.1</v>
      </c>
      <c r="F116" s="10">
        <v>2362296</v>
      </c>
      <c r="G116" s="12">
        <v>3235589</v>
      </c>
    </row>
    <row r="117" spans="1:7" ht="15.75" thickBot="1">
      <c r="A117" s="4">
        <v>40238</v>
      </c>
      <c r="B117" s="3">
        <f t="shared" si="11"/>
        <v>26769780</v>
      </c>
      <c r="C117" s="3">
        <f t="shared" si="12"/>
        <v>27381713</v>
      </c>
      <c r="D117" s="5">
        <f t="shared" si="13"/>
        <v>1.0228590970863414</v>
      </c>
      <c r="E117" s="18">
        <v>60.9</v>
      </c>
      <c r="F117" s="10">
        <v>3123855</v>
      </c>
      <c r="G117" s="12">
        <v>3269558</v>
      </c>
    </row>
    <row r="118" spans="1:7" ht="15.75" thickBot="1">
      <c r="A118" s="4">
        <v>40269</v>
      </c>
      <c r="B118" s="3">
        <f t="shared" si="11"/>
        <v>27471293</v>
      </c>
      <c r="C118" s="3">
        <f t="shared" si="12"/>
        <v>29399418</v>
      </c>
      <c r="D118" s="5">
        <f t="shared" si="13"/>
        <v>1.0701869038344864</v>
      </c>
      <c r="E118" s="18">
        <v>63.2</v>
      </c>
      <c r="F118" s="10">
        <v>3089326</v>
      </c>
      <c r="G118" s="12">
        <v>4130185</v>
      </c>
    </row>
    <row r="119" spans="1:7" ht="15.75" thickBot="1">
      <c r="A119" s="4">
        <v>40299</v>
      </c>
      <c r="B119" s="3">
        <f t="shared" si="11"/>
        <v>28750467</v>
      </c>
      <c r="C119" s="3">
        <f t="shared" si="12"/>
        <v>30633498</v>
      </c>
      <c r="D119" s="5">
        <f t="shared" si="13"/>
        <v>1.0654956665573467</v>
      </c>
      <c r="E119" s="18">
        <v>64.900000000000006</v>
      </c>
      <c r="F119" s="10">
        <v>3564520</v>
      </c>
      <c r="G119" s="12">
        <v>3323410</v>
      </c>
    </row>
    <row r="120" spans="1:7" ht="15.75" thickBot="1">
      <c r="A120" s="4">
        <v>40330</v>
      </c>
      <c r="B120" s="3">
        <f t="shared" si="11"/>
        <v>28467546</v>
      </c>
      <c r="C120" s="3">
        <f t="shared" si="12"/>
        <v>31008721</v>
      </c>
      <c r="D120" s="5">
        <f t="shared" si="13"/>
        <v>1.0892656852122062</v>
      </c>
      <c r="E120" s="18">
        <v>60.8</v>
      </c>
      <c r="F120" s="10">
        <v>2560817</v>
      </c>
      <c r="G120" s="12">
        <v>2683615</v>
      </c>
    </row>
    <row r="121" spans="1:7" ht="15.75" thickBot="1">
      <c r="A121" s="4">
        <v>40360</v>
      </c>
      <c r="B121" s="3">
        <f t="shared" si="11"/>
        <v>29261877</v>
      </c>
      <c r="C121" s="3">
        <f t="shared" si="12"/>
        <v>31828613</v>
      </c>
      <c r="D121" s="5">
        <f t="shared" si="13"/>
        <v>1.0877160409087907</v>
      </c>
      <c r="E121" s="18">
        <v>61.7</v>
      </c>
      <c r="F121" s="10">
        <v>1953281</v>
      </c>
      <c r="G121" s="12">
        <v>1755396</v>
      </c>
    </row>
    <row r="122" spans="1:7" ht="15.75" thickBot="1">
      <c r="A122" s="4">
        <v>40391</v>
      </c>
      <c r="B122" s="3">
        <f t="shared" si="11"/>
        <v>31963015</v>
      </c>
      <c r="C122" s="3">
        <f t="shared" si="12"/>
        <v>32125668</v>
      </c>
      <c r="D122" s="5">
        <f t="shared" si="13"/>
        <v>1.0050887877754962</v>
      </c>
      <c r="E122" s="18">
        <v>62</v>
      </c>
      <c r="F122" s="10">
        <v>4021033</v>
      </c>
      <c r="G122" s="12">
        <v>1866326</v>
      </c>
    </row>
    <row r="123" spans="1:7" ht="15.75" thickBot="1">
      <c r="A123" s="4">
        <v>40422</v>
      </c>
      <c r="B123" s="3">
        <f t="shared" si="11"/>
        <v>33028279</v>
      </c>
      <c r="C123" s="3">
        <f t="shared" si="12"/>
        <v>34326008</v>
      </c>
      <c r="D123" s="5">
        <f t="shared" si="13"/>
        <v>1.0392914508200686</v>
      </c>
      <c r="E123" s="18">
        <v>63.6</v>
      </c>
      <c r="F123" s="10">
        <v>3719612</v>
      </c>
      <c r="G123" s="12">
        <v>4363994</v>
      </c>
    </row>
    <row r="124" spans="1:7" ht="15.75" thickBot="1">
      <c r="A124" s="4">
        <v>40452</v>
      </c>
      <c r="B124" s="3">
        <f t="shared" si="11"/>
        <v>35122238</v>
      </c>
      <c r="C124" s="3">
        <f t="shared" si="12"/>
        <v>36879732</v>
      </c>
      <c r="D124" s="5">
        <f t="shared" si="13"/>
        <v>1.0500393511370203</v>
      </c>
      <c r="E124" s="18">
        <v>62.6</v>
      </c>
      <c r="F124" s="10">
        <v>4014523</v>
      </c>
      <c r="G124" s="12">
        <v>4644288</v>
      </c>
    </row>
    <row r="125" spans="1:7" ht="15.75" thickBot="1">
      <c r="A125" s="4">
        <v>40483</v>
      </c>
      <c r="B125" s="3">
        <f t="shared" si="11"/>
        <v>35667639</v>
      </c>
      <c r="C125" s="3">
        <f t="shared" si="12"/>
        <v>37443909</v>
      </c>
      <c r="D125" s="5">
        <f t="shared" si="13"/>
        <v>1.0498006049685542</v>
      </c>
      <c r="E125" s="18">
        <v>63.6</v>
      </c>
      <c r="F125" s="10">
        <v>2889790</v>
      </c>
      <c r="G125" s="12">
        <v>3423694</v>
      </c>
    </row>
    <row r="126" spans="1:7" ht="15.75" thickBot="1">
      <c r="A126" s="4">
        <v>40513</v>
      </c>
      <c r="B126" s="3">
        <f t="shared" si="11"/>
        <v>35902211</v>
      </c>
      <c r="C126" s="3">
        <f t="shared" si="12"/>
        <v>37589242</v>
      </c>
      <c r="D126" s="5">
        <f t="shared" si="13"/>
        <v>1.046989612979546</v>
      </c>
      <c r="E126" s="18">
        <v>61.9</v>
      </c>
      <c r="F126" s="10">
        <v>2639520</v>
      </c>
      <c r="G126" s="12">
        <v>3297846</v>
      </c>
    </row>
    <row r="127" spans="1:7" ht="15.75" thickBot="1">
      <c r="A127" s="4">
        <v>40544</v>
      </c>
      <c r="B127" s="3">
        <f t="shared" si="11"/>
        <v>36503081</v>
      </c>
      <c r="C127" s="3">
        <f t="shared" si="12"/>
        <v>39199187</v>
      </c>
      <c r="D127" s="5">
        <f t="shared" si="13"/>
        <v>1.0738596832415324</v>
      </c>
      <c r="E127" s="18">
        <v>60.8</v>
      </c>
      <c r="F127" s="10">
        <v>2564508</v>
      </c>
      <c r="G127" s="12">
        <v>3205286</v>
      </c>
    </row>
    <row r="128" spans="1:7" ht="15.75" thickBot="1">
      <c r="A128" s="4">
        <v>40575</v>
      </c>
      <c r="B128" s="3">
        <f t="shared" si="11"/>
        <v>38976350</v>
      </c>
      <c r="C128" s="3">
        <f t="shared" si="12"/>
        <v>40428602</v>
      </c>
      <c r="D128" s="5">
        <f t="shared" si="13"/>
        <v>1.0372598255095717</v>
      </c>
      <c r="E128" s="18">
        <v>60.3</v>
      </c>
      <c r="F128" s="10">
        <v>4835565</v>
      </c>
      <c r="G128" s="12">
        <v>4465004</v>
      </c>
    </row>
    <row r="129" spans="1:7" ht="15.75" thickBot="1">
      <c r="A129" s="4">
        <v>40603</v>
      </c>
      <c r="B129" s="3">
        <f t="shared" si="11"/>
        <v>40115597</v>
      </c>
      <c r="C129" s="3">
        <f t="shared" si="12"/>
        <v>43162044</v>
      </c>
      <c r="D129" s="5">
        <f t="shared" si="13"/>
        <v>1.0759417091561669</v>
      </c>
      <c r="E129" s="18">
        <v>57.9</v>
      </c>
      <c r="F129" s="10">
        <v>4263102</v>
      </c>
      <c r="G129" s="12">
        <v>6003000</v>
      </c>
    </row>
    <row r="130" spans="1:7" ht="15.75" thickBot="1">
      <c r="A130" s="4">
        <v>40634</v>
      </c>
      <c r="B130" s="3">
        <f t="shared" si="11"/>
        <v>40990678</v>
      </c>
      <c r="C130" s="3">
        <f t="shared" si="12"/>
        <v>42797670</v>
      </c>
      <c r="D130" s="5">
        <f t="shared" si="13"/>
        <v>1.0440829985783597</v>
      </c>
      <c r="E130" s="18">
        <v>58.8</v>
      </c>
      <c r="F130" s="10">
        <v>3964407</v>
      </c>
      <c r="G130" s="12">
        <v>3765811</v>
      </c>
    </row>
    <row r="131" spans="1:7" ht="15.75" thickBot="1">
      <c r="A131" s="4">
        <v>40664</v>
      </c>
      <c r="B131" s="3">
        <f t="shared" si="11"/>
        <v>41369381</v>
      </c>
      <c r="C131" s="3">
        <f t="shared" si="12"/>
        <v>43643850</v>
      </c>
      <c r="D131" s="5">
        <f t="shared" si="13"/>
        <v>1.0549795270081512</v>
      </c>
      <c r="E131" s="18">
        <v>54.8</v>
      </c>
      <c r="F131" s="10">
        <v>3943223</v>
      </c>
      <c r="G131" s="12">
        <v>4169590</v>
      </c>
    </row>
    <row r="132" spans="1:7" ht="15.75" thickBot="1">
      <c r="A132" s="4">
        <v>40695</v>
      </c>
      <c r="B132" s="3">
        <f t="shared" si="11"/>
        <v>43168875</v>
      </c>
      <c r="C132" s="3">
        <f t="shared" si="12"/>
        <v>46281155</v>
      </c>
      <c r="D132" s="5">
        <f t="shared" si="13"/>
        <v>1.0720954622977783</v>
      </c>
      <c r="E132" s="18">
        <v>51.6</v>
      </c>
      <c r="F132" s="10">
        <v>4360311</v>
      </c>
      <c r="G132" s="12">
        <v>5320920</v>
      </c>
    </row>
    <row r="133" spans="1:7" ht="15.75" thickBot="1">
      <c r="A133" s="4">
        <v>40725</v>
      </c>
      <c r="B133" s="3">
        <f t="shared" si="11"/>
        <v>44317716</v>
      </c>
      <c r="C133" s="3">
        <f t="shared" si="12"/>
        <v>47072216</v>
      </c>
      <c r="D133" s="5">
        <f t="shared" si="13"/>
        <v>1.0621534737936404</v>
      </c>
      <c r="E133" s="18">
        <v>47.3</v>
      </c>
      <c r="F133" s="10">
        <v>3102122</v>
      </c>
      <c r="G133" s="12">
        <v>2546457</v>
      </c>
    </row>
    <row r="134" spans="1:7" ht="15.75" thickBot="1">
      <c r="A134" s="4">
        <v>40756</v>
      </c>
      <c r="B134" s="3">
        <f t="shared" si="11"/>
        <v>43773742</v>
      </c>
      <c r="C134" s="3">
        <f t="shared" si="12"/>
        <v>48583562</v>
      </c>
      <c r="D134" s="5">
        <f t="shared" si="13"/>
        <v>1.1098791142872821</v>
      </c>
      <c r="E134" s="18">
        <v>50.3</v>
      </c>
      <c r="F134" s="10">
        <v>3477059</v>
      </c>
      <c r="G134" s="12">
        <v>3377672</v>
      </c>
    </row>
    <row r="135" spans="1:7" ht="15.75" thickBot="1">
      <c r="A135" s="4">
        <v>40787</v>
      </c>
      <c r="B135" s="3">
        <f t="shared" si="11"/>
        <v>44157675</v>
      </c>
      <c r="C135" s="3">
        <f t="shared" si="12"/>
        <v>48791469</v>
      </c>
      <c r="D135" s="5">
        <f t="shared" si="13"/>
        <v>1.104937454247761</v>
      </c>
      <c r="E135" s="18">
        <v>48.7</v>
      </c>
      <c r="F135" s="10">
        <v>4103545</v>
      </c>
      <c r="G135" s="13">
        <v>4571901</v>
      </c>
    </row>
    <row r="136" spans="1:7" ht="15.75" thickBot="1">
      <c r="A136" s="4">
        <v>40817</v>
      </c>
      <c r="B136" s="3">
        <f t="shared" si="11"/>
        <v>45697348</v>
      </c>
      <c r="C136" s="3">
        <f t="shared" si="12"/>
        <v>49229402</v>
      </c>
      <c r="D136" s="5">
        <f t="shared" si="13"/>
        <v>1.0772923190203509</v>
      </c>
      <c r="E136" s="18">
        <v>51.3</v>
      </c>
      <c r="F136" s="10">
        <v>5554196</v>
      </c>
      <c r="G136" s="12">
        <v>5082221</v>
      </c>
    </row>
    <row r="137" spans="1:7" ht="15.75" thickBot="1">
      <c r="A137" s="4">
        <v>40848</v>
      </c>
      <c r="B137" s="3">
        <f t="shared" si="11"/>
        <v>47986745</v>
      </c>
      <c r="C137" s="3">
        <f t="shared" si="12"/>
        <v>50792523</v>
      </c>
      <c r="D137" s="5">
        <f t="shared" si="13"/>
        <v>1.0584698545400402</v>
      </c>
      <c r="E137" s="18">
        <v>49.6</v>
      </c>
      <c r="F137" s="10">
        <v>5179187</v>
      </c>
      <c r="G137" s="12">
        <v>4986815</v>
      </c>
    </row>
    <row r="138" spans="1:7" ht="15.75" thickBot="1">
      <c r="A138" s="4">
        <v>40878</v>
      </c>
      <c r="B138" s="3">
        <f t="shared" si="11"/>
        <v>49088803</v>
      </c>
      <c r="C138" s="3">
        <f t="shared" si="12"/>
        <v>51401251</v>
      </c>
      <c r="D138" s="5">
        <f t="shared" si="13"/>
        <v>1.0471074432187724</v>
      </c>
      <c r="E138" s="18">
        <v>50.5</v>
      </c>
      <c r="F138" s="10">
        <v>3741578</v>
      </c>
      <c r="G138" s="12">
        <v>3906574</v>
      </c>
    </row>
    <row r="139" spans="1:7" ht="15.75" thickBot="1">
      <c r="A139" s="4">
        <v>40909</v>
      </c>
      <c r="B139" s="3">
        <f t="shared" si="11"/>
        <v>50786721</v>
      </c>
      <c r="C139" s="3">
        <f t="shared" si="12"/>
        <v>51975284</v>
      </c>
      <c r="D139" s="5">
        <f t="shared" si="13"/>
        <v>1.0234030269447796</v>
      </c>
      <c r="E139" s="18">
        <v>50.3</v>
      </c>
      <c r="F139" s="10">
        <v>4262426</v>
      </c>
      <c r="G139" s="12">
        <v>3779319</v>
      </c>
    </row>
    <row r="140" spans="1:7" ht="15.75" thickBot="1">
      <c r="A140" s="4">
        <v>40940</v>
      </c>
      <c r="B140" s="3">
        <f t="shared" si="11"/>
        <v>51284024</v>
      </c>
      <c r="C140" s="3">
        <f t="shared" si="12"/>
        <v>50837937</v>
      </c>
      <c r="D140" s="5">
        <f t="shared" si="13"/>
        <v>0.99130163810858529</v>
      </c>
      <c r="E140" s="18">
        <v>49.5</v>
      </c>
      <c r="F140" s="10">
        <v>5332868</v>
      </c>
      <c r="G140" s="12">
        <v>3327657</v>
      </c>
    </row>
    <row r="141" spans="1:7" ht="15.75" thickBot="1">
      <c r="A141" s="4">
        <v>40969</v>
      </c>
      <c r="B141" s="3">
        <f t="shared" si="11"/>
        <v>50454362</v>
      </c>
      <c r="C141" s="3">
        <f t="shared" si="12"/>
        <v>48399221</v>
      </c>
      <c r="D141" s="5">
        <f t="shared" si="13"/>
        <v>0.95926732757021083</v>
      </c>
      <c r="E141" s="18">
        <v>49.4</v>
      </c>
      <c r="F141" s="10">
        <v>3433440</v>
      </c>
      <c r="G141" s="12">
        <v>3564284</v>
      </c>
    </row>
    <row r="142" spans="1:7" ht="15.75" thickBot="1">
      <c r="A142" s="4">
        <v>41000</v>
      </c>
      <c r="B142" s="3">
        <f t="shared" si="11"/>
        <v>50090381</v>
      </c>
      <c r="C142" s="3">
        <f t="shared" si="12"/>
        <v>47962079</v>
      </c>
      <c r="D142" s="5">
        <f t="shared" si="13"/>
        <v>0.95751076439206961</v>
      </c>
      <c r="E142" s="18">
        <v>49.3</v>
      </c>
      <c r="F142" s="10">
        <v>3600426</v>
      </c>
      <c r="G142" s="12">
        <v>3328669</v>
      </c>
    </row>
    <row r="143" spans="1:7" ht="15.75" thickBot="1">
      <c r="A143" s="4">
        <v>41030</v>
      </c>
      <c r="B143" s="3">
        <f t="shared" si="11"/>
        <v>51095993</v>
      </c>
      <c r="C143" s="3">
        <f t="shared" si="12"/>
        <v>48329336</v>
      </c>
      <c r="D143" s="5">
        <f t="shared" si="13"/>
        <v>0.94585373847221244</v>
      </c>
      <c r="E143" s="18">
        <v>48.1</v>
      </c>
      <c r="F143" s="10">
        <v>4948835</v>
      </c>
      <c r="G143" s="12">
        <v>4536847</v>
      </c>
    </row>
    <row r="144" spans="1:7" ht="15.75" thickBot="1">
      <c r="A144" s="4">
        <v>41061</v>
      </c>
      <c r="B144" s="3">
        <f t="shared" si="11"/>
        <v>49831924</v>
      </c>
      <c r="C144" s="3">
        <f t="shared" si="12"/>
        <v>46877860</v>
      </c>
      <c r="D144" s="5">
        <f t="shared" si="13"/>
        <v>0.94071944723627365</v>
      </c>
      <c r="E144" s="18">
        <v>47.5</v>
      </c>
      <c r="F144" s="10">
        <v>3096242</v>
      </c>
      <c r="G144" s="12">
        <v>3869444</v>
      </c>
    </row>
    <row r="145" spans="1:7" ht="15.75" thickBot="1">
      <c r="A145" s="4">
        <v>41091</v>
      </c>
      <c r="B145" s="3">
        <f t="shared" si="11"/>
        <v>49270698</v>
      </c>
      <c r="C145" s="3">
        <f t="shared" si="12"/>
        <v>47041533</v>
      </c>
      <c r="D145" s="5">
        <f t="shared" si="13"/>
        <v>0.95475678059198588</v>
      </c>
      <c r="E145" s="18">
        <v>48.6</v>
      </c>
      <c r="F145" s="10">
        <v>2540896</v>
      </c>
      <c r="G145" s="12">
        <v>2710130</v>
      </c>
    </row>
    <row r="146" spans="1:7" ht="15.75" thickBot="1">
      <c r="A146" s="4">
        <v>41122</v>
      </c>
      <c r="B146" s="3">
        <f>SUM(F135:F146)</f>
        <v>49153931</v>
      </c>
      <c r="C146" s="3">
        <f>SUM(G135:G146)</f>
        <v>46150931</v>
      </c>
      <c r="D146" s="5">
        <f>SUM(C146/B146)</f>
        <v>0.93890620874249098</v>
      </c>
      <c r="E146" s="18">
        <v>47</v>
      </c>
      <c r="F146" s="10">
        <v>3360292</v>
      </c>
      <c r="G146" s="12">
        <v>2487070</v>
      </c>
    </row>
    <row r="147" spans="1:7" ht="15.75" thickBot="1">
      <c r="A147" s="4">
        <v>41153</v>
      </c>
      <c r="B147" s="3">
        <f>SUM(F136:F147)</f>
        <v>49579675</v>
      </c>
      <c r="C147" s="3">
        <f>SUM(G136:G147)</f>
        <v>44951641</v>
      </c>
      <c r="D147" s="5">
        <f>SUM(C147/B147)</f>
        <v>0.90665461199574215</v>
      </c>
      <c r="E147" s="18">
        <v>45.4</v>
      </c>
      <c r="F147" s="10">
        <v>4529289</v>
      </c>
      <c r="G147" s="12">
        <v>3372611</v>
      </c>
    </row>
    <row r="148" spans="1:7" ht="15.75" thickBot="1">
      <c r="A148" s="4">
        <v>41183</v>
      </c>
      <c r="B148" s="3">
        <f t="shared" ref="B148:B211" si="14">SUM(F137:F148)</f>
        <v>48437453</v>
      </c>
      <c r="C148" s="3">
        <f t="shared" ref="C148:C211" si="15">SUM(G137:G148)</f>
        <v>44280887</v>
      </c>
      <c r="D148" s="5">
        <f t="shared" ref="D148:D211" si="16">SUM(C148/B148)</f>
        <v>0.91418694124978039</v>
      </c>
      <c r="E148" s="18">
        <v>44.8</v>
      </c>
      <c r="F148" s="10">
        <v>4411974</v>
      </c>
      <c r="G148" s="12">
        <v>4411467</v>
      </c>
    </row>
    <row r="149" spans="1:7" ht="15.75" thickBot="1">
      <c r="A149" s="4">
        <v>41214</v>
      </c>
      <c r="B149" s="3">
        <f t="shared" si="14"/>
        <v>47575336</v>
      </c>
      <c r="C149" s="3">
        <f t="shared" si="15"/>
        <v>42816485</v>
      </c>
      <c r="D149" s="5">
        <f t="shared" si="16"/>
        <v>0.89997230918137916</v>
      </c>
      <c r="E149" s="18">
        <v>44.6</v>
      </c>
      <c r="F149" s="10">
        <v>4317070</v>
      </c>
      <c r="G149" s="12">
        <v>3522413</v>
      </c>
    </row>
    <row r="150" spans="1:7" ht="15.75" thickBot="1">
      <c r="A150" s="4">
        <v>41244</v>
      </c>
      <c r="B150" s="3">
        <f t="shared" si="14"/>
        <v>46303235</v>
      </c>
      <c r="C150" s="3">
        <f t="shared" si="15"/>
        <v>41553931</v>
      </c>
      <c r="D150" s="5">
        <f t="shared" si="16"/>
        <v>0.89743040632042237</v>
      </c>
      <c r="E150" s="18">
        <v>45.6</v>
      </c>
      <c r="F150" s="10">
        <v>2469477</v>
      </c>
      <c r="G150" s="12">
        <v>2644020</v>
      </c>
    </row>
    <row r="151" spans="1:7" ht="15.75" thickBot="1">
      <c r="A151" s="4">
        <v>41275</v>
      </c>
      <c r="B151" s="3">
        <f t="shared" si="14"/>
        <v>45317988</v>
      </c>
      <c r="C151" s="3">
        <f t="shared" si="15"/>
        <v>41790900</v>
      </c>
      <c r="D151" s="5">
        <f t="shared" si="16"/>
        <v>0.92217024286250304</v>
      </c>
      <c r="E151" s="18">
        <v>47.8</v>
      </c>
      <c r="F151" s="10">
        <v>3277179</v>
      </c>
      <c r="G151" s="12">
        <v>4016288</v>
      </c>
    </row>
    <row r="152" spans="1:7" ht="15.75" thickBot="1">
      <c r="A152" s="4">
        <v>41306</v>
      </c>
      <c r="B152" s="3">
        <f t="shared" si="14"/>
        <v>44595203.4428</v>
      </c>
      <c r="C152" s="3">
        <f t="shared" si="15"/>
        <v>42021775</v>
      </c>
      <c r="D152" s="5">
        <f t="shared" si="16"/>
        <v>0.94229360460030631</v>
      </c>
      <c r="E152" s="18">
        <v>50.4</v>
      </c>
      <c r="F152" s="10">
        <v>4610083.4427999984</v>
      </c>
      <c r="G152" s="12">
        <v>3558532</v>
      </c>
    </row>
    <row r="153" spans="1:7" ht="15.75" thickBot="1">
      <c r="A153" s="4">
        <v>41334</v>
      </c>
      <c r="B153" s="3">
        <f t="shared" si="14"/>
        <v>46051462.144699998</v>
      </c>
      <c r="C153" s="3">
        <f t="shared" si="15"/>
        <v>42514359</v>
      </c>
      <c r="D153" s="5">
        <f t="shared" si="16"/>
        <v>0.92319238130624526</v>
      </c>
      <c r="E153" s="18">
        <v>51.2</v>
      </c>
      <c r="F153" s="10">
        <v>4889698.7018999998</v>
      </c>
      <c r="G153" s="12">
        <v>4056868</v>
      </c>
    </row>
    <row r="154" spans="1:7" ht="15.75" thickBot="1">
      <c r="A154" s="4">
        <v>41365</v>
      </c>
      <c r="B154" s="3">
        <f t="shared" si="14"/>
        <v>46423943.144699998</v>
      </c>
      <c r="C154" s="3">
        <f t="shared" si="15"/>
        <v>43273341</v>
      </c>
      <c r="D154" s="5">
        <f t="shared" si="16"/>
        <v>0.93213411159668613</v>
      </c>
      <c r="E154" s="18">
        <v>48.5</v>
      </c>
      <c r="F154" s="10">
        <v>3972907</v>
      </c>
      <c r="G154" s="12">
        <v>4087651</v>
      </c>
    </row>
    <row r="155" spans="1:7" ht="15.75" thickBot="1">
      <c r="A155" s="4">
        <v>41395</v>
      </c>
      <c r="B155" s="3">
        <f t="shared" si="14"/>
        <v>44492798.144699998</v>
      </c>
      <c r="C155" s="3">
        <f t="shared" si="15"/>
        <v>41644702</v>
      </c>
      <c r="D155" s="5">
        <f t="shared" si="16"/>
        <v>0.93598747969418816</v>
      </c>
      <c r="E155" s="18">
        <v>51.4</v>
      </c>
      <c r="F155" s="10">
        <v>3017690</v>
      </c>
      <c r="G155" s="12">
        <v>2908208</v>
      </c>
    </row>
    <row r="156" spans="1:7" ht="15.75" thickBot="1">
      <c r="A156" s="4">
        <v>41426</v>
      </c>
      <c r="B156" s="3">
        <f t="shared" si="14"/>
        <v>44921198.144699998</v>
      </c>
      <c r="C156" s="3">
        <f t="shared" si="15"/>
        <v>42390022</v>
      </c>
      <c r="D156" s="5">
        <f t="shared" si="16"/>
        <v>0.94365296899369022</v>
      </c>
      <c r="E156" s="18">
        <v>53.4</v>
      </c>
      <c r="F156" s="10">
        <v>3524642</v>
      </c>
      <c r="G156" s="12">
        <v>4614764</v>
      </c>
    </row>
    <row r="157" spans="1:7" ht="15.75" thickBot="1">
      <c r="A157" s="4">
        <v>41456</v>
      </c>
      <c r="B157" s="3">
        <f t="shared" si="14"/>
        <v>44759114.144699998</v>
      </c>
      <c r="C157" s="3">
        <f t="shared" si="15"/>
        <v>41950815</v>
      </c>
      <c r="D157" s="5">
        <f t="shared" si="16"/>
        <v>0.93725749049408891</v>
      </c>
      <c r="E157" s="18">
        <v>49.7</v>
      </c>
      <c r="F157" s="10">
        <v>2378812</v>
      </c>
      <c r="G157" s="12">
        <v>2270923</v>
      </c>
    </row>
    <row r="158" spans="1:7" ht="15.75" thickBot="1">
      <c r="A158" s="4">
        <v>41487</v>
      </c>
      <c r="B158" s="3">
        <f t="shared" si="14"/>
        <v>44549756.144699998</v>
      </c>
      <c r="C158" s="3">
        <f t="shared" si="15"/>
        <v>43623486</v>
      </c>
      <c r="D158" s="5">
        <f t="shared" si="16"/>
        <v>0.97920818821787881</v>
      </c>
      <c r="E158" s="18">
        <v>54.7</v>
      </c>
      <c r="F158" s="10">
        <v>3150934</v>
      </c>
      <c r="G158" s="12">
        <v>4159741</v>
      </c>
    </row>
    <row r="159" spans="1:7" ht="15.75" thickBot="1">
      <c r="A159" s="4">
        <v>41518</v>
      </c>
      <c r="B159" s="3">
        <f t="shared" si="14"/>
        <v>43845321.144699998</v>
      </c>
      <c r="C159" s="3">
        <f t="shared" si="15"/>
        <v>46104882</v>
      </c>
      <c r="D159" s="5">
        <f t="shared" si="16"/>
        <v>1.0515348227885688</v>
      </c>
      <c r="E159" s="18">
        <v>57</v>
      </c>
      <c r="F159" s="10">
        <v>3824854</v>
      </c>
      <c r="G159" s="12">
        <v>5854007</v>
      </c>
    </row>
    <row r="160" spans="1:7" ht="15.75" thickBot="1">
      <c r="A160" s="4">
        <v>41548</v>
      </c>
      <c r="B160" s="3">
        <f t="shared" si="14"/>
        <v>45192188.144699998</v>
      </c>
      <c r="C160" s="3">
        <f t="shared" si="15"/>
        <v>45241049</v>
      </c>
      <c r="D160" s="5">
        <f t="shared" si="16"/>
        <v>1.0010811792326486</v>
      </c>
      <c r="E160" s="18">
        <v>53.7</v>
      </c>
      <c r="F160" s="10">
        <v>5758841</v>
      </c>
      <c r="G160" s="12">
        <v>3547634</v>
      </c>
    </row>
    <row r="161" spans="1:7" ht="15.75" thickBot="1">
      <c r="A161" s="4">
        <v>41579</v>
      </c>
      <c r="B161" s="3">
        <f t="shared" si="14"/>
        <v>44913118.144699998</v>
      </c>
      <c r="C161" s="3">
        <f t="shared" si="15"/>
        <v>46998636</v>
      </c>
      <c r="D161" s="5">
        <f t="shared" si="16"/>
        <v>1.046434492670514</v>
      </c>
      <c r="E161" s="18">
        <v>57</v>
      </c>
      <c r="F161" s="10">
        <v>4038000</v>
      </c>
      <c r="G161" s="12">
        <v>5280000</v>
      </c>
    </row>
    <row r="162" spans="1:7" ht="15.75" thickBot="1">
      <c r="A162" s="4">
        <v>41609</v>
      </c>
      <c r="B162" s="3">
        <f t="shared" si="14"/>
        <v>45109641.144699998</v>
      </c>
      <c r="C162" s="3">
        <f t="shared" si="15"/>
        <v>47019616</v>
      </c>
      <c r="D162" s="5">
        <f t="shared" si="16"/>
        <v>1.0423407237750639</v>
      </c>
      <c r="E162" s="18">
        <v>52.5</v>
      </c>
      <c r="F162" s="10">
        <v>2666000</v>
      </c>
      <c r="G162" s="12">
        <v>2665000</v>
      </c>
    </row>
    <row r="163" spans="1:7" ht="15.75" thickBot="1">
      <c r="A163" s="4">
        <v>41640</v>
      </c>
      <c r="B163" s="3">
        <f t="shared" si="14"/>
        <v>46572462.144699998</v>
      </c>
      <c r="C163" s="3">
        <f t="shared" si="15"/>
        <v>46986328</v>
      </c>
      <c r="D163" s="5">
        <f t="shared" si="16"/>
        <v>1.0088864929239543</v>
      </c>
      <c r="E163" s="18">
        <v>54.7</v>
      </c>
      <c r="F163" s="10">
        <v>4740000</v>
      </c>
      <c r="G163" s="12">
        <v>3983000</v>
      </c>
    </row>
    <row r="164" spans="1:7" ht="15.75" thickBot="1">
      <c r="A164" s="4">
        <v>41671</v>
      </c>
      <c r="B164" s="3">
        <f t="shared" si="14"/>
        <v>47004378.701899998</v>
      </c>
      <c r="C164" s="3">
        <f t="shared" si="15"/>
        <v>47710796</v>
      </c>
      <c r="D164" s="5">
        <f t="shared" si="16"/>
        <v>1.0150287551417301</v>
      </c>
      <c r="E164" s="18">
        <v>54.1</v>
      </c>
      <c r="F164" s="10">
        <v>5042000</v>
      </c>
      <c r="G164" s="12">
        <v>4283000</v>
      </c>
    </row>
    <row r="165" spans="1:7" ht="15.75" thickBot="1">
      <c r="A165" s="4">
        <v>41699</v>
      </c>
      <c r="B165" s="3">
        <f t="shared" si="14"/>
        <v>47028680</v>
      </c>
      <c r="C165" s="3">
        <f t="shared" si="15"/>
        <v>49473928</v>
      </c>
      <c r="D165" s="5">
        <f t="shared" si="16"/>
        <v>1.0519948252853366</v>
      </c>
      <c r="E165" s="18">
        <v>55.4</v>
      </c>
      <c r="F165" s="10">
        <v>4914000</v>
      </c>
      <c r="G165" s="12">
        <v>5820000</v>
      </c>
    </row>
    <row r="166" spans="1:7" ht="15.75" thickBot="1">
      <c r="A166" s="4">
        <v>41730</v>
      </c>
      <c r="B166" s="3">
        <f t="shared" si="14"/>
        <v>47961773</v>
      </c>
      <c r="C166" s="3">
        <f t="shared" si="15"/>
        <v>49804277</v>
      </c>
      <c r="D166" s="5">
        <f t="shared" si="16"/>
        <v>1.0384160944175271</v>
      </c>
      <c r="E166" s="18">
        <v>54.4</v>
      </c>
      <c r="F166" s="10">
        <v>4906000</v>
      </c>
      <c r="G166" s="12">
        <v>4418000</v>
      </c>
    </row>
    <row r="167" spans="1:7" ht="15.75" thickBot="1">
      <c r="A167" s="4">
        <v>41760</v>
      </c>
      <c r="B167" s="3">
        <f t="shared" si="14"/>
        <v>49355083</v>
      </c>
      <c r="C167" s="3">
        <f t="shared" si="15"/>
        <v>50075069</v>
      </c>
      <c r="D167" s="5">
        <f t="shared" si="16"/>
        <v>1.0145878794287511</v>
      </c>
      <c r="E167" s="18">
        <v>53.7</v>
      </c>
      <c r="F167" s="10">
        <v>4411000</v>
      </c>
      <c r="G167" s="12">
        <v>3179000</v>
      </c>
    </row>
    <row r="168" spans="1:7" ht="15.75" thickBot="1">
      <c r="A168" s="4">
        <v>41791</v>
      </c>
      <c r="B168" s="3">
        <f t="shared" si="14"/>
        <v>48973441</v>
      </c>
      <c r="C168" s="3">
        <f t="shared" si="15"/>
        <v>49019305</v>
      </c>
      <c r="D168" s="5">
        <f t="shared" si="16"/>
        <v>1.0009365076062349</v>
      </c>
      <c r="E168" s="18">
        <v>55</v>
      </c>
      <c r="F168" s="10">
        <v>3143000</v>
      </c>
      <c r="G168" s="12">
        <v>3559000</v>
      </c>
    </row>
    <row r="169" spans="1:7" ht="15.75" thickBot="1">
      <c r="A169" s="4">
        <v>41821</v>
      </c>
      <c r="B169" s="3">
        <f t="shared" si="14"/>
        <v>49755629</v>
      </c>
      <c r="C169" s="3">
        <f t="shared" si="15"/>
        <v>48270382</v>
      </c>
      <c r="D169" s="5">
        <f t="shared" si="16"/>
        <v>0.97014916643903748</v>
      </c>
      <c r="E169" s="18">
        <v>54</v>
      </c>
      <c r="F169" s="10">
        <v>3161000</v>
      </c>
      <c r="G169" s="12">
        <v>1522000</v>
      </c>
    </row>
    <row r="170" spans="1:7" ht="15.75" thickBot="1">
      <c r="A170" s="4">
        <v>41852</v>
      </c>
      <c r="B170" s="3">
        <f t="shared" si="14"/>
        <v>49970695</v>
      </c>
      <c r="C170" s="3">
        <f t="shared" si="15"/>
        <v>47746641</v>
      </c>
      <c r="D170" s="5">
        <f t="shared" si="16"/>
        <v>0.95549283435021271</v>
      </c>
      <c r="E170" s="18">
        <v>53.6</v>
      </c>
      <c r="F170" s="10">
        <v>3366000</v>
      </c>
      <c r="G170" s="12">
        <v>3636000</v>
      </c>
    </row>
    <row r="171" spans="1:7" ht="15.75" thickBot="1">
      <c r="A171" s="4">
        <v>41883</v>
      </c>
      <c r="B171" s="3">
        <f t="shared" si="14"/>
        <v>50138841</v>
      </c>
      <c r="C171" s="3">
        <f t="shared" si="15"/>
        <v>46445634</v>
      </c>
      <c r="D171" s="5">
        <f t="shared" si="16"/>
        <v>0.92634039945199376</v>
      </c>
      <c r="E171" s="18">
        <v>54.2</v>
      </c>
      <c r="F171" s="10">
        <v>3993000</v>
      </c>
      <c r="G171" s="12">
        <v>4553000</v>
      </c>
    </row>
    <row r="172" spans="1:7" ht="15.75" thickBot="1">
      <c r="A172" s="4">
        <v>41913</v>
      </c>
      <c r="B172" s="3">
        <f t="shared" si="14"/>
        <v>48947000</v>
      </c>
      <c r="C172" s="3">
        <f t="shared" si="15"/>
        <v>47126000</v>
      </c>
      <c r="D172" s="5">
        <f t="shared" si="16"/>
        <v>0.9627964941671604</v>
      </c>
      <c r="E172" s="18">
        <v>53.6</v>
      </c>
      <c r="F172" s="10">
        <v>4567000</v>
      </c>
      <c r="G172" s="12">
        <v>4228000</v>
      </c>
    </row>
    <row r="173" spans="1:7" ht="15.75" thickBot="1">
      <c r="A173" s="4">
        <v>41944</v>
      </c>
      <c r="B173" s="3">
        <f t="shared" si="14"/>
        <v>48587000</v>
      </c>
      <c r="C173" s="3">
        <f t="shared" si="15"/>
        <v>46588000</v>
      </c>
      <c r="D173" s="5">
        <f t="shared" si="16"/>
        <v>0.95885730751023934</v>
      </c>
      <c r="E173" s="18">
        <v>53.1</v>
      </c>
      <c r="F173" s="10">
        <v>3678000</v>
      </c>
      <c r="G173" s="12">
        <v>4742000</v>
      </c>
    </row>
    <row r="174" spans="1:7" ht="15.75" thickBot="1">
      <c r="A174" s="4">
        <v>41974</v>
      </c>
      <c r="B174" s="3">
        <f t="shared" si="14"/>
        <v>48806000</v>
      </c>
      <c r="C174" s="3">
        <f t="shared" si="15"/>
        <v>46885000</v>
      </c>
      <c r="D174" s="5">
        <f t="shared" si="16"/>
        <v>0.96064008523542188</v>
      </c>
      <c r="E174" s="18">
        <v>55.1</v>
      </c>
      <c r="F174" s="10">
        <v>2885000</v>
      </c>
      <c r="G174" s="12">
        <v>2962000</v>
      </c>
    </row>
    <row r="175" spans="1:7" ht="15.75" thickBot="1">
      <c r="A175" s="4">
        <v>42005</v>
      </c>
      <c r="B175" s="3">
        <f t="shared" si="14"/>
        <v>47838000</v>
      </c>
      <c r="C175" s="3">
        <f t="shared" si="15"/>
        <v>47188000</v>
      </c>
      <c r="D175" s="5">
        <f t="shared" si="16"/>
        <v>0.98641247543793642</v>
      </c>
      <c r="E175" s="18">
        <v>53.5</v>
      </c>
      <c r="F175" s="10">
        <v>3772000</v>
      </c>
      <c r="G175" s="12">
        <v>4286000</v>
      </c>
    </row>
    <row r="176" spans="1:7" ht="15.75" thickBot="1">
      <c r="A176" s="4">
        <v>42036</v>
      </c>
      <c r="B176" s="3">
        <f t="shared" si="14"/>
        <v>47393000</v>
      </c>
      <c r="C176" s="3">
        <f t="shared" si="15"/>
        <v>48664000</v>
      </c>
      <c r="D176" s="5">
        <f t="shared" si="16"/>
        <v>1.02681830650096</v>
      </c>
      <c r="E176" s="18">
        <v>52.8</v>
      </c>
      <c r="F176" s="10">
        <v>4597000</v>
      </c>
      <c r="G176" s="12">
        <v>5759000</v>
      </c>
    </row>
    <row r="177" spans="1:7" ht="15.75" thickBot="1">
      <c r="A177" s="4">
        <v>42064</v>
      </c>
      <c r="B177" s="3">
        <f t="shared" si="14"/>
        <v>46399000</v>
      </c>
      <c r="C177" s="3">
        <f t="shared" si="15"/>
        <v>47456000</v>
      </c>
      <c r="D177" s="5">
        <f t="shared" si="16"/>
        <v>1.0227806633763659</v>
      </c>
      <c r="E177" s="18">
        <v>53</v>
      </c>
      <c r="F177" s="10">
        <v>3920000</v>
      </c>
      <c r="G177" s="12">
        <v>4612000</v>
      </c>
    </row>
    <row r="178" spans="1:7" ht="15.75" thickBot="1">
      <c r="A178" s="4">
        <v>42095</v>
      </c>
      <c r="B178" s="3">
        <f t="shared" si="14"/>
        <v>46162000</v>
      </c>
      <c r="C178" s="3">
        <f t="shared" si="15"/>
        <v>46682000</v>
      </c>
      <c r="D178" s="5">
        <f t="shared" si="16"/>
        <v>1.0112646765738054</v>
      </c>
      <c r="E178" s="18">
        <v>55</v>
      </c>
      <c r="F178" s="10">
        <v>4669000</v>
      </c>
      <c r="G178" s="12">
        <v>3644000</v>
      </c>
    </row>
    <row r="179" spans="1:7" ht="15.75" thickBot="1">
      <c r="A179" s="4">
        <v>42125</v>
      </c>
      <c r="B179" s="3">
        <f t="shared" si="14"/>
        <v>47692000</v>
      </c>
      <c r="C179" s="3">
        <f t="shared" si="15"/>
        <v>47742000</v>
      </c>
      <c r="D179" s="5">
        <f t="shared" si="16"/>
        <v>1.0010483938606056</v>
      </c>
      <c r="E179" s="18">
        <v>54.6</v>
      </c>
      <c r="F179" s="10">
        <v>5941000</v>
      </c>
      <c r="G179" s="12">
        <v>4239000</v>
      </c>
    </row>
    <row r="180" spans="1:7" ht="15.75" thickBot="1">
      <c r="A180" s="4">
        <v>42156</v>
      </c>
      <c r="B180" s="3">
        <f t="shared" si="14"/>
        <v>48371000</v>
      </c>
      <c r="C180" s="3">
        <f t="shared" si="15"/>
        <v>49352000</v>
      </c>
      <c r="D180" s="5">
        <f t="shared" si="16"/>
        <v>1.0202807467284116</v>
      </c>
      <c r="E180" s="18">
        <v>53.3</v>
      </c>
      <c r="F180" s="10">
        <v>3822000</v>
      </c>
      <c r="G180" s="12">
        <v>5169000</v>
      </c>
    </row>
    <row r="181" spans="1:7" ht="15.75" thickBot="1">
      <c r="A181" s="4">
        <v>42186</v>
      </c>
      <c r="B181" s="3">
        <f t="shared" si="14"/>
        <v>47639000</v>
      </c>
      <c r="C181" s="3">
        <f t="shared" si="15"/>
        <v>49599000</v>
      </c>
      <c r="D181" s="5">
        <f t="shared" si="16"/>
        <v>1.0411427611830644</v>
      </c>
      <c r="E181" s="18">
        <v>54.4</v>
      </c>
      <c r="F181" s="10">
        <v>2429000</v>
      </c>
      <c r="G181" s="12">
        <v>1769000</v>
      </c>
    </row>
    <row r="182" spans="1:7" ht="15.75" thickBot="1">
      <c r="A182" s="4">
        <v>42217</v>
      </c>
      <c r="B182" s="3">
        <f t="shared" si="14"/>
        <v>47637000</v>
      </c>
      <c r="C182" s="3">
        <f t="shared" si="15"/>
        <v>49022000</v>
      </c>
      <c r="D182" s="5">
        <f t="shared" si="16"/>
        <v>1.0290740390872641</v>
      </c>
      <c r="E182" s="18">
        <v>56.3</v>
      </c>
      <c r="F182" s="10">
        <v>3364000</v>
      </c>
      <c r="G182" s="12">
        <v>3059000</v>
      </c>
    </row>
    <row r="183" spans="1:7" ht="15.75" thickBot="1">
      <c r="A183" s="4">
        <v>42248</v>
      </c>
      <c r="B183" s="3">
        <f t="shared" si="14"/>
        <v>48988000</v>
      </c>
      <c r="C183" s="3">
        <f t="shared" si="15"/>
        <v>49706000</v>
      </c>
      <c r="D183" s="5">
        <f t="shared" si="16"/>
        <v>1.0146566506083123</v>
      </c>
      <c r="E183" s="18">
        <v>53.9</v>
      </c>
      <c r="F183" s="10">
        <v>5344000</v>
      </c>
      <c r="G183" s="12">
        <v>5237000</v>
      </c>
    </row>
    <row r="184" spans="1:7" ht="15.75" thickBot="1">
      <c r="A184" s="4">
        <v>42278</v>
      </c>
      <c r="B184" s="3">
        <f t="shared" si="14"/>
        <v>49685000</v>
      </c>
      <c r="C184" s="3">
        <f t="shared" si="15"/>
        <v>50891000</v>
      </c>
      <c r="D184" s="5">
        <f t="shared" si="16"/>
        <v>1.0242729193921707</v>
      </c>
      <c r="E184" s="18">
        <v>54.5</v>
      </c>
      <c r="F184" s="10">
        <v>5264000</v>
      </c>
      <c r="G184" s="12">
        <v>5413000</v>
      </c>
    </row>
    <row r="185" spans="1:7" ht="15.75" thickBot="1">
      <c r="A185" s="4">
        <v>42309</v>
      </c>
      <c r="B185" s="3">
        <f t="shared" si="14"/>
        <v>50515000</v>
      </c>
      <c r="C185" s="3">
        <f t="shared" si="15"/>
        <v>49315000</v>
      </c>
      <c r="D185" s="5">
        <f t="shared" si="16"/>
        <v>0.97624467979807983</v>
      </c>
      <c r="E185" s="18">
        <v>54.6</v>
      </c>
      <c r="F185" s="10">
        <v>4508000</v>
      </c>
      <c r="G185" s="12">
        <v>3166000</v>
      </c>
    </row>
    <row r="186" spans="1:7" ht="15.75" thickBot="1">
      <c r="A186" s="4">
        <v>42339</v>
      </c>
      <c r="B186" s="3">
        <f t="shared" si="14"/>
        <v>51108000</v>
      </c>
      <c r="C186" s="3">
        <f t="shared" si="15"/>
        <v>50350000</v>
      </c>
      <c r="D186" s="5">
        <f t="shared" si="16"/>
        <v>0.98516866244032242</v>
      </c>
      <c r="E186" s="18">
        <v>55.2</v>
      </c>
      <c r="F186" s="10">
        <v>3478000</v>
      </c>
      <c r="G186" s="12">
        <v>3997000</v>
      </c>
    </row>
    <row r="187" spans="1:7" ht="15.75" thickBot="1">
      <c r="A187" s="4">
        <v>42370</v>
      </c>
      <c r="B187" s="3">
        <f t="shared" si="14"/>
        <v>50797000</v>
      </c>
      <c r="C187" s="3">
        <f t="shared" si="15"/>
        <v>49885000</v>
      </c>
      <c r="D187" s="5">
        <f t="shared" si="16"/>
        <v>0.98204618382975373</v>
      </c>
      <c r="E187" s="18">
        <v>54.1</v>
      </c>
      <c r="F187" s="10">
        <v>3461000</v>
      </c>
      <c r="G187" s="12">
        <v>3821000</v>
      </c>
    </row>
    <row r="188" spans="1:7" ht="15.75" thickBot="1">
      <c r="A188" s="4">
        <v>42401</v>
      </c>
      <c r="B188" s="3">
        <f t="shared" si="14"/>
        <v>50560000</v>
      </c>
      <c r="C188" s="3">
        <f t="shared" si="15"/>
        <v>49095000</v>
      </c>
      <c r="D188" s="5">
        <f t="shared" si="16"/>
        <v>0.97102452531645567</v>
      </c>
      <c r="E188" s="18">
        <v>51.1</v>
      </c>
      <c r="F188" s="10">
        <v>4360000</v>
      </c>
      <c r="G188" s="12">
        <v>4969000</v>
      </c>
    </row>
    <row r="189" spans="1:7" ht="15.75" thickBot="1">
      <c r="A189" s="4">
        <v>42430</v>
      </c>
      <c r="B189" s="3">
        <f t="shared" si="14"/>
        <v>51601000</v>
      </c>
      <c r="C189" s="3">
        <f t="shared" si="15"/>
        <v>49596000</v>
      </c>
      <c r="D189" s="5">
        <f t="shared" si="16"/>
        <v>0.96114416387279311</v>
      </c>
      <c r="E189" s="18">
        <v>52.1</v>
      </c>
      <c r="F189" s="10">
        <v>4961000</v>
      </c>
      <c r="G189" s="12">
        <v>5113000</v>
      </c>
    </row>
    <row r="190" spans="1:7" ht="15.75" thickBot="1">
      <c r="A190" s="4">
        <v>42461</v>
      </c>
      <c r="B190" s="3">
        <f t="shared" si="14"/>
        <v>50783000</v>
      </c>
      <c r="C190" s="3">
        <f t="shared" si="15"/>
        <v>51506000</v>
      </c>
      <c r="D190" s="5">
        <f t="shared" si="16"/>
        <v>1.014237047830967</v>
      </c>
      <c r="E190" s="18">
        <v>53.7</v>
      </c>
      <c r="F190" s="10">
        <v>3851000</v>
      </c>
      <c r="G190" s="12">
        <v>5554000</v>
      </c>
    </row>
    <row r="191" spans="1:7" ht="15.75" thickBot="1">
      <c r="A191" s="4">
        <v>42491</v>
      </c>
      <c r="B191" s="3">
        <f t="shared" si="14"/>
        <v>48863000</v>
      </c>
      <c r="C191" s="3">
        <f t="shared" si="15"/>
        <v>51333000</v>
      </c>
      <c r="D191" s="5">
        <f t="shared" si="16"/>
        <v>1.0505494955283139</v>
      </c>
      <c r="E191" s="18">
        <v>54</v>
      </c>
      <c r="F191" s="10">
        <v>4021000</v>
      </c>
      <c r="G191" s="12">
        <v>4066000</v>
      </c>
    </row>
    <row r="192" spans="1:7" ht="15.75" thickBot="1">
      <c r="A192" s="4">
        <v>42522</v>
      </c>
      <c r="B192" s="3">
        <f t="shared" si="14"/>
        <v>50983000</v>
      </c>
      <c r="C192" s="3">
        <f t="shared" si="15"/>
        <v>49687000</v>
      </c>
      <c r="D192" s="5">
        <f t="shared" si="16"/>
        <v>0.97457976188141149</v>
      </c>
      <c r="E192" s="18">
        <v>53.7</v>
      </c>
      <c r="F192" s="10">
        <v>5942000</v>
      </c>
      <c r="G192" s="12">
        <v>3523000</v>
      </c>
    </row>
    <row r="193" spans="1:7" ht="15.75" thickBot="1">
      <c r="A193" s="4">
        <v>42552</v>
      </c>
      <c r="B193" s="3">
        <f t="shared" si="14"/>
        <v>51233000</v>
      </c>
      <c r="C193" s="3">
        <f t="shared" si="15"/>
        <v>49913000</v>
      </c>
      <c r="D193" s="5">
        <f t="shared" si="16"/>
        <v>0.97423535611812695</v>
      </c>
      <c r="E193" s="18">
        <v>54.7</v>
      </c>
      <c r="F193" s="10">
        <v>2679000</v>
      </c>
      <c r="G193" s="12">
        <v>1995000</v>
      </c>
    </row>
    <row r="194" spans="1:7" ht="15.75" thickBot="1">
      <c r="A194" s="4">
        <v>42583</v>
      </c>
      <c r="B194" s="3">
        <f t="shared" si="14"/>
        <v>51005000</v>
      </c>
      <c r="C194" s="3">
        <f t="shared" si="15"/>
        <v>49362000</v>
      </c>
      <c r="D194" s="5">
        <f t="shared" si="16"/>
        <v>0.96778747181648861</v>
      </c>
      <c r="E194" s="18">
        <v>53.8</v>
      </c>
      <c r="F194" s="10">
        <v>3136000</v>
      </c>
      <c r="G194" s="12">
        <v>2508000</v>
      </c>
    </row>
    <row r="195" spans="1:7" ht="15.75" thickBot="1">
      <c r="A195" s="4">
        <v>42614</v>
      </c>
      <c r="B195" s="3">
        <f t="shared" si="14"/>
        <v>50591000</v>
      </c>
      <c r="C195" s="3">
        <f t="shared" si="15"/>
        <v>48911000</v>
      </c>
      <c r="D195" s="5">
        <f t="shared" si="16"/>
        <v>0.96679251250222376</v>
      </c>
      <c r="E195" s="18">
        <v>55.5</v>
      </c>
      <c r="F195" s="10">
        <v>4930000</v>
      </c>
      <c r="G195" s="12">
        <v>4786000</v>
      </c>
    </row>
    <row r="196" spans="1:7" ht="15.75" thickBot="1">
      <c r="A196" s="4">
        <v>42644</v>
      </c>
      <c r="B196" s="3">
        <f t="shared" si="14"/>
        <v>49699000</v>
      </c>
      <c r="C196" s="3">
        <f t="shared" si="15"/>
        <v>48971000</v>
      </c>
      <c r="D196" s="5">
        <f t="shared" si="16"/>
        <v>0.98535181794402305</v>
      </c>
      <c r="E196" s="18">
        <v>59.5</v>
      </c>
      <c r="F196" s="10">
        <v>4372000</v>
      </c>
      <c r="G196" s="12">
        <v>5473000</v>
      </c>
    </row>
    <row r="197" spans="1:7" ht="15.75" thickBot="1">
      <c r="A197" s="4">
        <v>42675</v>
      </c>
      <c r="B197" s="3">
        <f t="shared" si="14"/>
        <v>49996000</v>
      </c>
      <c r="C197" s="3">
        <f t="shared" si="15"/>
        <v>50690000</v>
      </c>
      <c r="D197" s="5">
        <f t="shared" si="16"/>
        <v>1.013881110488839</v>
      </c>
      <c r="E197" s="18">
        <v>56.7</v>
      </c>
      <c r="F197" s="10">
        <v>4805000</v>
      </c>
      <c r="G197" s="12">
        <v>4885000</v>
      </c>
    </row>
    <row r="198" spans="1:7" ht="15.75" thickBot="1">
      <c r="A198" s="4">
        <v>42705</v>
      </c>
      <c r="B198" s="3">
        <f t="shared" si="14"/>
        <v>50708000</v>
      </c>
      <c r="C198" s="3">
        <f t="shared" si="15"/>
        <v>50482000</v>
      </c>
      <c r="D198" s="5">
        <f t="shared" si="16"/>
        <v>0.99554310956850989</v>
      </c>
      <c r="E198" s="18">
        <v>59.3</v>
      </c>
      <c r="F198" s="10">
        <v>4190000</v>
      </c>
      <c r="G198" s="12">
        <v>3789000</v>
      </c>
    </row>
    <row r="199" spans="1:7" ht="15.75" thickBot="1">
      <c r="A199" s="4">
        <v>42736</v>
      </c>
      <c r="B199" s="3">
        <f t="shared" si="14"/>
        <v>51775000</v>
      </c>
      <c r="C199" s="3">
        <f t="shared" si="15"/>
        <v>50705000</v>
      </c>
      <c r="D199" s="5">
        <f t="shared" si="16"/>
        <v>0.97933365523901494</v>
      </c>
      <c r="E199" s="18">
        <v>61.1</v>
      </c>
      <c r="F199" s="10">
        <v>4528000</v>
      </c>
      <c r="G199" s="12">
        <v>4044000</v>
      </c>
    </row>
    <row r="200" spans="1:7" ht="15.75" thickBot="1">
      <c r="A200" s="4">
        <v>42767</v>
      </c>
      <c r="B200" s="3">
        <f t="shared" si="14"/>
        <v>52391000</v>
      </c>
      <c r="C200" s="3">
        <f t="shared" si="15"/>
        <v>50350000</v>
      </c>
      <c r="D200" s="5">
        <f t="shared" si="16"/>
        <v>0.96104292722032414</v>
      </c>
      <c r="E200" s="18">
        <v>60</v>
      </c>
      <c r="F200" s="10">
        <v>4976000</v>
      </c>
      <c r="G200" s="12">
        <v>4614000</v>
      </c>
    </row>
    <row r="201" spans="1:7" ht="15.75" thickBot="1">
      <c r="A201" s="4">
        <v>42795</v>
      </c>
      <c r="B201" s="3">
        <f t="shared" si="14"/>
        <v>51966000</v>
      </c>
      <c r="C201" s="3">
        <f t="shared" si="15"/>
        <v>51749000</v>
      </c>
      <c r="D201" s="5">
        <f t="shared" si="16"/>
        <v>0.99582419274140788</v>
      </c>
      <c r="E201" s="18">
        <v>64.400000000000006</v>
      </c>
      <c r="F201" s="10">
        <v>4536000</v>
      </c>
      <c r="G201" s="12">
        <v>6512000</v>
      </c>
    </row>
    <row r="202" spans="1:7" ht="15.75" thickBot="1">
      <c r="A202" s="4">
        <v>42826</v>
      </c>
      <c r="B202" s="3">
        <f t="shared" si="14"/>
        <v>51638000</v>
      </c>
      <c r="C202" s="3">
        <f t="shared" si="15"/>
        <v>50470000</v>
      </c>
      <c r="D202" s="5">
        <f t="shared" si="16"/>
        <v>0.97738099848948445</v>
      </c>
      <c r="E202" s="18">
        <v>62.8</v>
      </c>
      <c r="F202" s="10">
        <v>3523000</v>
      </c>
      <c r="G202" s="12">
        <v>4275000</v>
      </c>
    </row>
    <row r="203" spans="1:7" ht="15.75" thickBot="1">
      <c r="A203" s="4">
        <v>42856</v>
      </c>
      <c r="B203" s="3">
        <f t="shared" si="14"/>
        <v>53406000</v>
      </c>
      <c r="C203" s="3">
        <f t="shared" si="15"/>
        <v>51466000</v>
      </c>
      <c r="D203" s="5">
        <f t="shared" si="16"/>
        <v>0.9636744935026027</v>
      </c>
      <c r="E203" s="18">
        <v>58.7</v>
      </c>
      <c r="F203" s="10">
        <v>5789000</v>
      </c>
      <c r="G203" s="12">
        <v>5062000</v>
      </c>
    </row>
    <row r="204" spans="1:7" ht="15.75" thickBot="1">
      <c r="A204" s="4">
        <v>42887</v>
      </c>
      <c r="B204" s="3">
        <f t="shared" si="14"/>
        <v>51817000</v>
      </c>
      <c r="C204" s="3">
        <f t="shared" si="15"/>
        <v>53210000</v>
      </c>
      <c r="D204" s="5">
        <f t="shared" si="16"/>
        <v>1.0268830692629831</v>
      </c>
      <c r="E204" s="18">
        <v>63.4</v>
      </c>
      <c r="F204" s="10">
        <v>4353000</v>
      </c>
      <c r="G204" s="12">
        <v>5267000</v>
      </c>
    </row>
    <row r="205" spans="1:7" ht="15.75" thickBot="1">
      <c r="A205" s="4">
        <v>42917</v>
      </c>
      <c r="B205" s="3">
        <f t="shared" si="14"/>
        <v>51862000</v>
      </c>
      <c r="C205" s="3">
        <f t="shared" si="15"/>
        <v>54336000</v>
      </c>
      <c r="D205" s="5">
        <f t="shared" si="16"/>
        <v>1.0477035208823415</v>
      </c>
      <c r="E205" s="18">
        <v>59.4</v>
      </c>
      <c r="F205" s="10">
        <v>2724000</v>
      </c>
      <c r="G205" s="12">
        <v>3121000</v>
      </c>
    </row>
    <row r="206" spans="1:7" ht="15.75" thickBot="1">
      <c r="A206" s="4">
        <v>42948</v>
      </c>
      <c r="B206" s="3">
        <f t="shared" si="14"/>
        <v>53702000</v>
      </c>
      <c r="C206" s="3">
        <f t="shared" si="15"/>
        <v>54931000</v>
      </c>
      <c r="D206" s="5">
        <f t="shared" si="16"/>
        <v>1.0228855536106662</v>
      </c>
      <c r="E206" s="18">
        <v>57.4</v>
      </c>
      <c r="F206" s="10">
        <v>4976000</v>
      </c>
      <c r="G206" s="12">
        <v>3103000</v>
      </c>
    </row>
    <row r="207" spans="1:7" ht="15.75" thickBot="1">
      <c r="A207" s="4">
        <v>42979</v>
      </c>
      <c r="B207" s="3">
        <f t="shared" si="14"/>
        <v>55599000</v>
      </c>
      <c r="C207" s="3">
        <f t="shared" si="15"/>
        <v>56081000</v>
      </c>
      <c r="D207" s="5">
        <f t="shared" si="16"/>
        <v>1.0086692206694365</v>
      </c>
      <c r="E207" s="18">
        <v>64.3</v>
      </c>
      <c r="F207" s="10">
        <v>6827000</v>
      </c>
      <c r="G207" s="12">
        <v>5936000</v>
      </c>
    </row>
    <row r="208" spans="1:7" ht="15.75" thickBot="1">
      <c r="A208" s="4">
        <v>43009</v>
      </c>
      <c r="B208" s="3">
        <f t="shared" si="14"/>
        <v>56172000</v>
      </c>
      <c r="C208" s="3">
        <f t="shared" si="15"/>
        <v>56245000</v>
      </c>
      <c r="D208" s="5">
        <f t="shared" si="16"/>
        <v>1.0012995798618529</v>
      </c>
      <c r="E208" s="18">
        <v>59.9</v>
      </c>
      <c r="F208" s="10">
        <v>4945000</v>
      </c>
      <c r="G208" s="12">
        <v>5637000</v>
      </c>
    </row>
    <row r="209" spans="1:7" ht="15.75" thickBot="1">
      <c r="A209" s="4">
        <v>43040</v>
      </c>
      <c r="B209" s="3">
        <f t="shared" si="14"/>
        <v>56147000</v>
      </c>
      <c r="C209" s="3">
        <f t="shared" si="15"/>
        <v>57912000</v>
      </c>
      <c r="D209" s="5">
        <f t="shared" si="16"/>
        <v>1.0314353393769926</v>
      </c>
      <c r="E209" s="18">
        <v>62.6</v>
      </c>
      <c r="F209" s="10">
        <v>4780000</v>
      </c>
      <c r="G209" s="12">
        <v>6552000</v>
      </c>
    </row>
    <row r="210" spans="1:7" ht="15.75" thickBot="1">
      <c r="A210" s="4">
        <v>43070</v>
      </c>
      <c r="B210" s="3">
        <f t="shared" si="14"/>
        <v>58268000</v>
      </c>
      <c r="C210" s="3">
        <f t="shared" si="15"/>
        <v>61924000</v>
      </c>
      <c r="D210" s="5">
        <f t="shared" si="16"/>
        <v>1.0627445596210614</v>
      </c>
      <c r="E210" s="18">
        <v>59.4</v>
      </c>
      <c r="F210" s="10">
        <v>6311000</v>
      </c>
      <c r="G210" s="12">
        <v>7801000</v>
      </c>
    </row>
    <row r="211" spans="1:7" ht="15.75" thickBot="1">
      <c r="A211" s="4">
        <v>43101</v>
      </c>
      <c r="B211" s="3">
        <f t="shared" si="14"/>
        <v>60469000</v>
      </c>
      <c r="C211" s="3">
        <f t="shared" si="15"/>
        <v>64686000</v>
      </c>
      <c r="D211" s="5">
        <f t="shared" si="16"/>
        <v>1.0697382129686286</v>
      </c>
      <c r="E211" s="18">
        <v>56</v>
      </c>
      <c r="F211" s="10">
        <v>6729000</v>
      </c>
      <c r="G211" s="12">
        <v>6806000</v>
      </c>
    </row>
    <row r="212" spans="1:7" ht="15.75" thickBot="1">
      <c r="A212" s="4">
        <v>43132</v>
      </c>
      <c r="B212" s="3">
        <f t="shared" ref="B212:B234" si="17">SUM(F201:F212)</f>
        <v>61645000</v>
      </c>
      <c r="C212" s="3">
        <f t="shared" ref="C212:C234" si="18">SUM(G201:G212)</f>
        <v>67257000</v>
      </c>
      <c r="D212" s="5">
        <f t="shared" ref="D212:D234" si="19">SUM(C212/B212)</f>
        <v>1.0910373915159379</v>
      </c>
      <c r="E212" s="18">
        <v>58.5</v>
      </c>
      <c r="F212" s="10">
        <v>6152000</v>
      </c>
      <c r="G212" s="12">
        <v>7185000</v>
      </c>
    </row>
    <row r="213" spans="1:7" ht="15.75" thickBot="1">
      <c r="A213" s="4">
        <v>43160</v>
      </c>
      <c r="B213" s="3">
        <f t="shared" si="17"/>
        <v>62701000</v>
      </c>
      <c r="C213" s="3">
        <f t="shared" si="18"/>
        <v>69417000</v>
      </c>
      <c r="D213" s="5">
        <f t="shared" si="19"/>
        <v>1.1071115293217013</v>
      </c>
      <c r="E213" s="18">
        <v>55.1</v>
      </c>
      <c r="F213" s="10">
        <v>5592000</v>
      </c>
      <c r="G213" s="12">
        <v>8672000</v>
      </c>
    </row>
    <row r="214" spans="1:7" ht="15.75" thickBot="1">
      <c r="A214" s="4">
        <v>43191</v>
      </c>
      <c r="B214" s="3">
        <f t="shared" si="17"/>
        <v>67202000</v>
      </c>
      <c r="C214" s="3">
        <f t="shared" si="18"/>
        <v>72399000</v>
      </c>
      <c r="D214" s="5">
        <f t="shared" si="19"/>
        <v>1.0773340079164311</v>
      </c>
      <c r="E214" s="18">
        <v>55</v>
      </c>
      <c r="F214" s="10">
        <v>8024000</v>
      </c>
      <c r="G214" s="12">
        <v>7257000</v>
      </c>
    </row>
    <row r="215" spans="1:7" ht="15.75" thickBot="1">
      <c r="A215" s="4">
        <v>43221</v>
      </c>
      <c r="B215" s="3">
        <f t="shared" si="17"/>
        <v>67855000</v>
      </c>
      <c r="C215" s="3">
        <f t="shared" si="18"/>
        <v>73693000</v>
      </c>
      <c r="D215" s="5">
        <f t="shared" si="19"/>
        <v>1.0860364011495101</v>
      </c>
      <c r="E215" s="18">
        <v>55.5</v>
      </c>
      <c r="F215" s="10">
        <v>6442000</v>
      </c>
      <c r="G215" s="12">
        <v>6356000</v>
      </c>
    </row>
    <row r="216" spans="1:7" ht="15.75" thickBot="1">
      <c r="A216" s="4">
        <v>43252</v>
      </c>
      <c r="B216" s="3">
        <f t="shared" si="17"/>
        <v>69669000</v>
      </c>
      <c r="C216" s="3">
        <f t="shared" si="18"/>
        <v>73176000</v>
      </c>
      <c r="D216" s="5">
        <f t="shared" si="19"/>
        <v>1.050338026956035</v>
      </c>
      <c r="E216" s="18">
        <v>55.5</v>
      </c>
      <c r="F216" s="10">
        <v>6167000</v>
      </c>
      <c r="G216" s="12">
        <v>4750000</v>
      </c>
    </row>
    <row r="217" spans="1:7" ht="15.75" thickBot="1">
      <c r="A217" s="4">
        <v>43282</v>
      </c>
      <c r="B217" s="3">
        <f t="shared" si="17"/>
        <v>74916000</v>
      </c>
      <c r="C217" s="3">
        <f t="shared" si="18"/>
        <v>72863000</v>
      </c>
      <c r="D217" s="5">
        <f t="shared" si="19"/>
        <v>0.97259597415772336</v>
      </c>
      <c r="E217" s="18">
        <v>56.5</v>
      </c>
      <c r="F217" s="10">
        <v>7971000</v>
      </c>
      <c r="G217" s="12">
        <v>2808000</v>
      </c>
    </row>
    <row r="218" spans="1:7" ht="15.75" thickBot="1">
      <c r="A218" s="4">
        <v>43313</v>
      </c>
      <c r="B218" s="3">
        <f t="shared" si="17"/>
        <v>75144000</v>
      </c>
      <c r="C218" s="3">
        <f t="shared" si="18"/>
        <v>73573000</v>
      </c>
      <c r="D218" s="5">
        <f t="shared" si="19"/>
        <v>0.97909347386351542</v>
      </c>
      <c r="E218" s="18">
        <v>55</v>
      </c>
      <c r="F218" s="10">
        <v>5204000</v>
      </c>
      <c r="G218" s="12">
        <v>3813000</v>
      </c>
    </row>
    <row r="219" spans="1:7" ht="15.75" thickBot="1">
      <c r="A219" s="4">
        <v>43344</v>
      </c>
      <c r="B219" s="3">
        <f t="shared" si="17"/>
        <v>74480000</v>
      </c>
      <c r="C219" s="3">
        <f t="shared" si="18"/>
        <v>73331000</v>
      </c>
      <c r="D219" s="5">
        <f t="shared" si="19"/>
        <v>0.98457303974221266</v>
      </c>
      <c r="E219" s="18">
        <v>55.9</v>
      </c>
      <c r="F219" s="10">
        <v>6163000</v>
      </c>
      <c r="G219" s="12">
        <v>5694000</v>
      </c>
    </row>
    <row r="220" spans="1:7" ht="15.75" thickBot="1">
      <c r="A220" s="4">
        <v>43374</v>
      </c>
      <c r="B220" s="3">
        <f t="shared" si="17"/>
        <v>76299000</v>
      </c>
      <c r="C220" s="3">
        <f t="shared" si="18"/>
        <v>74575000</v>
      </c>
      <c r="D220" s="5">
        <f t="shared" si="19"/>
        <v>0.97740468420293847</v>
      </c>
      <c r="E220" s="18">
        <v>55.8</v>
      </c>
      <c r="F220" s="10">
        <v>6764000</v>
      </c>
      <c r="G220" s="12">
        <v>6881000</v>
      </c>
    </row>
    <row r="221" spans="1:7" ht="15.75" thickBot="1">
      <c r="A221" s="4">
        <v>43405</v>
      </c>
      <c r="B221" s="3">
        <f t="shared" si="17"/>
        <v>76472000</v>
      </c>
      <c r="C221" s="3">
        <f t="shared" si="18"/>
        <v>73347000</v>
      </c>
      <c r="D221" s="5">
        <f t="shared" si="19"/>
        <v>0.9591353698085574</v>
      </c>
      <c r="E221" s="18">
        <v>56.3</v>
      </c>
      <c r="F221" s="10">
        <v>4953000</v>
      </c>
      <c r="G221" s="12">
        <v>5324000</v>
      </c>
    </row>
    <row r="222" spans="1:7" ht="15.75" thickBot="1">
      <c r="A222" s="4">
        <v>43435</v>
      </c>
      <c r="B222" s="3">
        <f t="shared" si="17"/>
        <v>74388000</v>
      </c>
      <c r="C222" s="3">
        <f t="shared" si="18"/>
        <v>71223000</v>
      </c>
      <c r="D222" s="5">
        <f t="shared" si="19"/>
        <v>0.95745281497015644</v>
      </c>
      <c r="E222" s="18">
        <v>52</v>
      </c>
      <c r="F222" s="10">
        <v>4227000</v>
      </c>
      <c r="G222" s="12">
        <v>5677000</v>
      </c>
    </row>
    <row r="223" spans="1:7" ht="15.75" thickBot="1">
      <c r="A223" s="4">
        <v>43466</v>
      </c>
      <c r="B223" s="3">
        <f t="shared" si="17"/>
        <v>74030360</v>
      </c>
      <c r="C223" s="3">
        <f t="shared" si="18"/>
        <v>70382000</v>
      </c>
      <c r="D223" s="5">
        <f t="shared" si="19"/>
        <v>0.95071805675401277</v>
      </c>
      <c r="E223" s="18">
        <v>51.4</v>
      </c>
      <c r="F223" s="10">
        <v>6371360</v>
      </c>
      <c r="G223" s="12">
        <v>5965000</v>
      </c>
    </row>
    <row r="224" spans="1:7" ht="15.75" thickBot="1">
      <c r="A224" s="4">
        <v>43497</v>
      </c>
      <c r="B224" s="3">
        <f t="shared" si="17"/>
        <v>73528661</v>
      </c>
      <c r="C224" s="3">
        <f t="shared" si="18"/>
        <v>70521251</v>
      </c>
      <c r="D224" s="5">
        <f t="shared" si="19"/>
        <v>0.95909880638245271</v>
      </c>
      <c r="E224" s="18">
        <v>51.1</v>
      </c>
      <c r="F224" s="10">
        <v>5650301</v>
      </c>
      <c r="G224" s="12">
        <v>7324251</v>
      </c>
    </row>
    <row r="225" spans="1:7" ht="15.75" thickBot="1">
      <c r="A225" s="4">
        <v>43525</v>
      </c>
      <c r="B225" s="3">
        <f t="shared" si="17"/>
        <v>74408661</v>
      </c>
      <c r="C225" s="3">
        <f t="shared" si="18"/>
        <v>67526164</v>
      </c>
      <c r="D225" s="5">
        <f t="shared" si="19"/>
        <v>0.90750408746100131</v>
      </c>
      <c r="E225" s="18">
        <v>52.7</v>
      </c>
      <c r="F225" s="10">
        <v>6472000</v>
      </c>
      <c r="G225" s="12">
        <v>5676913</v>
      </c>
    </row>
    <row r="226" spans="1:7" ht="15.75" thickBot="1">
      <c r="A226" s="4">
        <v>43556</v>
      </c>
      <c r="B226" s="3">
        <f t="shared" si="17"/>
        <v>73308661</v>
      </c>
      <c r="C226" s="3">
        <f t="shared" si="18"/>
        <v>66086357</v>
      </c>
      <c r="D226" s="5">
        <f t="shared" si="19"/>
        <v>0.90148089050487501</v>
      </c>
      <c r="E226" s="18">
        <v>50.6</v>
      </c>
      <c r="F226" s="10">
        <v>6924000</v>
      </c>
      <c r="G226" s="12">
        <v>5817193</v>
      </c>
    </row>
    <row r="227" spans="1:7" ht="15.75" thickBot="1">
      <c r="A227" s="4">
        <v>43586</v>
      </c>
      <c r="B227" s="3">
        <f t="shared" si="17"/>
        <v>73856956</v>
      </c>
      <c r="C227" s="3">
        <f t="shared" si="18"/>
        <v>66425879</v>
      </c>
      <c r="D227" s="5">
        <f t="shared" si="19"/>
        <v>0.89938555008955423</v>
      </c>
      <c r="E227" s="18">
        <v>52.8</v>
      </c>
      <c r="F227" s="10">
        <v>6990295</v>
      </c>
      <c r="G227" s="12">
        <v>6695522</v>
      </c>
    </row>
    <row r="228" spans="1:7" ht="15.75" thickBot="1">
      <c r="A228" s="4">
        <v>43617</v>
      </c>
      <c r="B228" s="3">
        <f t="shared" si="17"/>
        <v>72963889</v>
      </c>
      <c r="C228" s="3">
        <f t="shared" si="18"/>
        <v>70051539</v>
      </c>
      <c r="D228" s="5">
        <f t="shared" si="19"/>
        <v>0.9600850497428941</v>
      </c>
      <c r="E228" s="18">
        <v>52.8</v>
      </c>
      <c r="F228" s="10">
        <v>5273933</v>
      </c>
      <c r="G228" s="12">
        <v>8375660</v>
      </c>
    </row>
    <row r="229" spans="1:7" ht="15.75" thickBot="1">
      <c r="A229" s="4">
        <v>43647</v>
      </c>
      <c r="B229" s="3">
        <f t="shared" si="17"/>
        <v>68999191</v>
      </c>
      <c r="C229" s="3">
        <f t="shared" si="18"/>
        <v>70293007</v>
      </c>
      <c r="D229" s="5">
        <f t="shared" si="19"/>
        <v>1.0187511763724881</v>
      </c>
      <c r="E229" s="18">
        <v>51.6</v>
      </c>
      <c r="F229" s="10">
        <v>4006302</v>
      </c>
      <c r="G229" s="12">
        <v>3049468</v>
      </c>
    </row>
    <row r="230" spans="1:7" ht="15.75" thickBot="1">
      <c r="A230" s="4">
        <v>43678</v>
      </c>
      <c r="B230" s="3">
        <f t="shared" si="17"/>
        <v>69029451</v>
      </c>
      <c r="C230" s="3">
        <f t="shared" si="18"/>
        <v>70860514</v>
      </c>
      <c r="D230" s="5">
        <f t="shared" si="19"/>
        <v>1.0265258230142957</v>
      </c>
      <c r="E230" s="18">
        <v>52.3</v>
      </c>
      <c r="F230" s="10">
        <v>5234260</v>
      </c>
      <c r="G230" s="12">
        <v>4380507</v>
      </c>
    </row>
    <row r="231" spans="1:7" ht="15.75" thickBot="1">
      <c r="A231" s="4">
        <v>43709</v>
      </c>
      <c r="B231" s="3">
        <f t="shared" si="17"/>
        <v>71340226</v>
      </c>
      <c r="C231" s="3">
        <f t="shared" si="18"/>
        <v>71089380</v>
      </c>
      <c r="D231" s="5">
        <f t="shared" si="19"/>
        <v>0.9964838070459715</v>
      </c>
      <c r="E231" s="18">
        <v>46.5</v>
      </c>
      <c r="F231" s="10">
        <v>8473775</v>
      </c>
      <c r="G231" s="12">
        <v>5922866</v>
      </c>
    </row>
    <row r="232" spans="1:7" ht="15.75" thickBot="1">
      <c r="A232" s="4">
        <v>43739</v>
      </c>
      <c r="B232" s="3">
        <f t="shared" si="17"/>
        <v>70121496</v>
      </c>
      <c r="C232" s="3">
        <f t="shared" si="18"/>
        <v>73325103</v>
      </c>
      <c r="D232" s="5">
        <f t="shared" si="19"/>
        <v>1.0456865181541477</v>
      </c>
      <c r="E232" s="18">
        <v>46.3</v>
      </c>
      <c r="F232" s="10">
        <v>5545270</v>
      </c>
      <c r="G232" s="12">
        <v>9116723</v>
      </c>
    </row>
    <row r="233" spans="1:7" ht="15.75" thickBot="1">
      <c r="A233" s="4">
        <v>43770</v>
      </c>
      <c r="B233" s="3">
        <f t="shared" si="17"/>
        <v>71597382</v>
      </c>
      <c r="C233" s="3">
        <f t="shared" si="18"/>
        <v>74062944</v>
      </c>
      <c r="D233" s="5">
        <f t="shared" si="19"/>
        <v>1.0344364826077022</v>
      </c>
      <c r="E233" s="18">
        <v>46.2</v>
      </c>
      <c r="F233" s="10">
        <v>6428886</v>
      </c>
      <c r="G233" s="12">
        <v>6061841</v>
      </c>
    </row>
    <row r="234" spans="1:7" ht="15.75" thickBot="1">
      <c r="A234" s="4">
        <v>43800</v>
      </c>
      <c r="B234" s="3">
        <f t="shared" si="17"/>
        <v>71404311</v>
      </c>
      <c r="C234" s="3">
        <f t="shared" si="18"/>
        <v>72931416</v>
      </c>
      <c r="D234" s="5">
        <f t="shared" si="19"/>
        <v>1.0213867339186284</v>
      </c>
      <c r="E234" s="18">
        <v>46.6</v>
      </c>
      <c r="F234" s="10">
        <v>4033929</v>
      </c>
      <c r="G234" s="12">
        <v>4545472</v>
      </c>
    </row>
    <row r="235" spans="1:7" ht="15.75" thickBot="1">
      <c r="A235" s="4">
        <v>43831</v>
      </c>
      <c r="B235" s="3">
        <f t="shared" ref="B235:B265" si="20">SUM(F224:F235)</f>
        <v>72449056</v>
      </c>
      <c r="C235" s="3">
        <f t="shared" ref="C235:C265" si="21">SUM(G224:G235)</f>
        <v>72238452</v>
      </c>
      <c r="D235" s="5">
        <f t="shared" ref="D235:D265" si="22">SUM(C235/B235)</f>
        <v>0.99709307461507846</v>
      </c>
      <c r="E235" s="18">
        <v>51</v>
      </c>
      <c r="F235" s="10">
        <v>7416105</v>
      </c>
      <c r="G235" s="12">
        <v>5272036</v>
      </c>
    </row>
    <row r="236" spans="1:7" ht="15.75" thickBot="1">
      <c r="A236" s="4">
        <v>43862</v>
      </c>
      <c r="B236" s="3">
        <f t="shared" si="20"/>
        <v>71878016</v>
      </c>
      <c r="C236" s="3">
        <f t="shared" si="21"/>
        <v>70713410</v>
      </c>
      <c r="D236" s="5">
        <f t="shared" si="22"/>
        <v>0.98379746597346263</v>
      </c>
      <c r="E236" s="18">
        <v>52.3</v>
      </c>
      <c r="F236" s="10">
        <v>5079261</v>
      </c>
      <c r="G236" s="12">
        <v>5799209</v>
      </c>
    </row>
    <row r="237" spans="1:7" ht="15.75" thickBot="1">
      <c r="A237" s="4">
        <v>43891</v>
      </c>
      <c r="B237" s="3">
        <f t="shared" si="20"/>
        <v>75129631</v>
      </c>
      <c r="C237" s="3">
        <f t="shared" si="21"/>
        <v>71855038</v>
      </c>
      <c r="D237" s="5">
        <f t="shared" si="22"/>
        <v>0.95641409446028025</v>
      </c>
      <c r="E237" s="18">
        <v>43.7</v>
      </c>
      <c r="F237" s="10">
        <v>9723615</v>
      </c>
      <c r="G237" s="12">
        <v>6818541</v>
      </c>
    </row>
    <row r="238" spans="1:7" ht="15.75" thickBot="1">
      <c r="A238" s="4">
        <v>43922</v>
      </c>
      <c r="B238" s="3">
        <f t="shared" si="20"/>
        <v>73607253</v>
      </c>
      <c r="C238" s="3">
        <f t="shared" si="21"/>
        <v>69896808</v>
      </c>
      <c r="D238" s="5">
        <f t="shared" si="22"/>
        <v>0.94959131269305752</v>
      </c>
      <c r="E238" s="18">
        <v>36</v>
      </c>
      <c r="F238" s="10">
        <v>5401622</v>
      </c>
      <c r="G238" s="12">
        <v>3858963</v>
      </c>
    </row>
    <row r="239" spans="1:7" ht="15.75" thickBot="1">
      <c r="A239" s="4">
        <v>43952</v>
      </c>
      <c r="B239" s="3">
        <f t="shared" si="20"/>
        <v>71047088</v>
      </c>
      <c r="C239" s="3">
        <f t="shared" si="21"/>
        <v>66553025</v>
      </c>
      <c r="D239" s="5">
        <f t="shared" si="22"/>
        <v>0.93674528926505751</v>
      </c>
      <c r="E239" s="18">
        <v>39.799999999999997</v>
      </c>
      <c r="F239" s="10">
        <v>4430130</v>
      </c>
      <c r="G239" s="12">
        <v>3351739</v>
      </c>
    </row>
    <row r="240" spans="1:7" ht="15.75" thickBot="1">
      <c r="A240" s="4">
        <v>43983</v>
      </c>
      <c r="B240" s="3">
        <f t="shared" si="20"/>
        <v>69376155</v>
      </c>
      <c r="C240" s="3">
        <f t="shared" si="21"/>
        <v>64597365</v>
      </c>
      <c r="D240" s="5">
        <f t="shared" si="22"/>
        <v>0.93111768733796219</v>
      </c>
      <c r="E240" s="18">
        <v>49.2</v>
      </c>
      <c r="F240" s="10">
        <v>3603000</v>
      </c>
      <c r="G240" s="12">
        <v>6420000</v>
      </c>
    </row>
    <row r="241" spans="1:7" ht="15.75" thickBot="1">
      <c r="A241" s="4">
        <v>44013</v>
      </c>
      <c r="B241" s="3">
        <f t="shared" si="20"/>
        <v>67819853</v>
      </c>
      <c r="C241" s="3">
        <f t="shared" si="21"/>
        <v>63134897</v>
      </c>
      <c r="D241" s="5">
        <f t="shared" si="22"/>
        <v>0.93092058161789293</v>
      </c>
      <c r="E241" s="18">
        <v>51.9</v>
      </c>
      <c r="F241" s="10">
        <v>2450000</v>
      </c>
      <c r="G241" s="12">
        <v>1587000</v>
      </c>
    </row>
    <row r="242" spans="1:7" ht="15.75" thickBot="1">
      <c r="A242" s="4">
        <v>44044</v>
      </c>
      <c r="B242" s="3">
        <f t="shared" si="20"/>
        <v>65791593</v>
      </c>
      <c r="C242" s="3">
        <f t="shared" si="21"/>
        <v>63121390</v>
      </c>
      <c r="D242" s="5">
        <f t="shared" si="22"/>
        <v>0.95941422181402414</v>
      </c>
      <c r="E242" s="18">
        <v>55.2</v>
      </c>
      <c r="F242" s="10">
        <v>3206000</v>
      </c>
      <c r="G242" s="12">
        <v>4367000</v>
      </c>
    </row>
    <row r="243" spans="1:7" ht="15.75" thickBot="1">
      <c r="A243" s="4">
        <v>44075</v>
      </c>
      <c r="B243" s="3">
        <f t="shared" si="20"/>
        <v>65191818</v>
      </c>
      <c r="C243" s="3">
        <f t="shared" si="21"/>
        <v>65238524</v>
      </c>
      <c r="D243" s="5">
        <f t="shared" si="22"/>
        <v>1.0007164395998283</v>
      </c>
      <c r="E243" s="18">
        <v>56.7</v>
      </c>
      <c r="F243" s="10">
        <v>7874000</v>
      </c>
      <c r="G243" s="12">
        <v>8040000</v>
      </c>
    </row>
    <row r="244" spans="1:7" ht="15.75" thickBot="1">
      <c r="A244" s="4">
        <v>44105</v>
      </c>
      <c r="B244" s="3">
        <f t="shared" si="20"/>
        <v>65868548</v>
      </c>
      <c r="C244" s="3">
        <f t="shared" si="21"/>
        <v>63941801</v>
      </c>
      <c r="D244" s="5">
        <f t="shared" si="22"/>
        <v>0.97074860371903138</v>
      </c>
      <c r="E244" s="18">
        <v>59.1</v>
      </c>
      <c r="F244" s="10">
        <v>6222000</v>
      </c>
      <c r="G244" s="12">
        <v>7820000</v>
      </c>
    </row>
    <row r="245" spans="1:7" ht="15.75" thickBot="1">
      <c r="A245" s="4">
        <v>44136</v>
      </c>
      <c r="B245" s="3">
        <f t="shared" si="20"/>
        <v>65619662</v>
      </c>
      <c r="C245" s="3">
        <f t="shared" si="21"/>
        <v>63445960</v>
      </c>
      <c r="D245" s="5">
        <f t="shared" si="22"/>
        <v>0.9668742274228721</v>
      </c>
      <c r="E245" s="18">
        <v>59.9</v>
      </c>
      <c r="F245" s="10">
        <v>6180000</v>
      </c>
      <c r="G245" s="12">
        <v>5566000</v>
      </c>
    </row>
    <row r="246" spans="1:7" ht="15.75" thickBot="1">
      <c r="A246" s="4">
        <v>44166</v>
      </c>
      <c r="B246" s="3">
        <f t="shared" si="20"/>
        <v>70258069</v>
      </c>
      <c r="C246" s="3">
        <f t="shared" si="21"/>
        <v>64693599</v>
      </c>
      <c r="D246" s="5">
        <f t="shared" si="22"/>
        <v>0.92079955969185545</v>
      </c>
      <c r="E246" s="18">
        <v>64.400000000000006</v>
      </c>
      <c r="F246" s="15">
        <v>8672336</v>
      </c>
      <c r="G246" s="14">
        <v>5793111</v>
      </c>
    </row>
    <row r="247" spans="1:7" ht="15.75" thickBot="1">
      <c r="A247" s="4">
        <v>44197</v>
      </c>
      <c r="B247" s="3">
        <f t="shared" si="20"/>
        <v>67730033</v>
      </c>
      <c r="C247" s="3">
        <f t="shared" si="21"/>
        <v>62769749</v>
      </c>
      <c r="D247" s="5">
        <f t="shared" si="22"/>
        <v>0.92676389217173416</v>
      </c>
      <c r="E247" s="18">
        <v>62</v>
      </c>
      <c r="F247" s="10">
        <v>4888069</v>
      </c>
      <c r="G247" s="12">
        <v>3348186</v>
      </c>
    </row>
    <row r="248" spans="1:7" ht="15.75" thickBot="1">
      <c r="A248" s="4">
        <v>44228</v>
      </c>
      <c r="B248" s="3">
        <f t="shared" si="20"/>
        <v>67250068</v>
      </c>
      <c r="C248" s="3">
        <f t="shared" si="21"/>
        <v>63136651</v>
      </c>
      <c r="D248" s="5">
        <f t="shared" si="22"/>
        <v>0.93883400980352916</v>
      </c>
      <c r="E248" s="18">
        <v>61.5</v>
      </c>
      <c r="F248" s="10">
        <v>4599296</v>
      </c>
      <c r="G248" s="12">
        <v>6166111</v>
      </c>
    </row>
    <row r="249" spans="1:7" ht="15.75" thickBot="1">
      <c r="A249" s="4">
        <v>44256</v>
      </c>
      <c r="B249" s="3">
        <f t="shared" si="20"/>
        <v>65246523</v>
      </c>
      <c r="C249" s="3">
        <f t="shared" si="21"/>
        <v>66760181</v>
      </c>
      <c r="D249" s="5">
        <f t="shared" si="22"/>
        <v>1.0231990599713643</v>
      </c>
      <c r="E249" s="18">
        <v>64.400000000000006</v>
      </c>
      <c r="F249" s="10">
        <v>7720070</v>
      </c>
      <c r="G249" s="12">
        <v>10442071</v>
      </c>
    </row>
    <row r="250" spans="1:7" ht="15.75" thickBot="1">
      <c r="A250" s="4">
        <v>44287</v>
      </c>
      <c r="B250" s="3">
        <f t="shared" si="20"/>
        <v>66622353</v>
      </c>
      <c r="C250" s="3">
        <f t="shared" si="21"/>
        <v>69218062</v>
      </c>
      <c r="D250" s="5">
        <f t="shared" si="22"/>
        <v>1.0389615329257433</v>
      </c>
      <c r="E250" s="18">
        <v>68.5</v>
      </c>
      <c r="F250" s="10">
        <v>6777452</v>
      </c>
      <c r="G250" s="12">
        <v>6316844</v>
      </c>
    </row>
    <row r="251" spans="1:7" ht="15.75" thickBot="1">
      <c r="A251" s="4">
        <v>44317</v>
      </c>
      <c r="B251" s="3">
        <f t="shared" si="20"/>
        <v>68989264</v>
      </c>
      <c r="C251" s="3">
        <f t="shared" si="21"/>
        <v>74947395</v>
      </c>
      <c r="D251" s="5">
        <f t="shared" si="22"/>
        <v>1.0863631622450705</v>
      </c>
      <c r="E251" s="18">
        <v>65.8</v>
      </c>
      <c r="F251" s="10">
        <v>6797041</v>
      </c>
      <c r="G251" s="12">
        <v>9081072</v>
      </c>
    </row>
    <row r="252" spans="1:7" ht="15.75" thickBot="1">
      <c r="A252" s="4">
        <v>44348</v>
      </c>
      <c r="B252" s="3">
        <f t="shared" si="20"/>
        <v>71511746</v>
      </c>
      <c r="C252" s="3">
        <f t="shared" si="21"/>
        <v>74944494</v>
      </c>
      <c r="D252" s="5">
        <f t="shared" si="22"/>
        <v>1.0480025756887548</v>
      </c>
      <c r="E252" s="18">
        <v>65.7</v>
      </c>
      <c r="F252" s="10">
        <v>6125482</v>
      </c>
      <c r="G252" s="12">
        <v>6417099</v>
      </c>
    </row>
    <row r="253" spans="1:7" ht="15.75" thickBot="1">
      <c r="A253" s="4">
        <v>44378</v>
      </c>
      <c r="B253" s="3">
        <f t="shared" si="20"/>
        <v>73194010</v>
      </c>
      <c r="C253" s="3">
        <f t="shared" si="21"/>
        <v>77873984</v>
      </c>
      <c r="D253" s="5">
        <f t="shared" si="22"/>
        <v>1.0639393032298681</v>
      </c>
      <c r="E253" s="18">
        <v>64.8</v>
      </c>
      <c r="F253" s="10">
        <v>4132264</v>
      </c>
      <c r="G253" s="12">
        <v>4516490</v>
      </c>
    </row>
    <row r="254" spans="1:7" ht="15.75" thickBot="1">
      <c r="A254" s="4">
        <v>44409</v>
      </c>
      <c r="B254" s="3">
        <f t="shared" si="20"/>
        <v>75893746</v>
      </c>
      <c r="C254" s="3">
        <f t="shared" si="21"/>
        <v>78271843</v>
      </c>
      <c r="D254" s="5">
        <f t="shared" si="22"/>
        <v>1.0313345581861251</v>
      </c>
      <c r="E254" s="18">
        <v>60.7</v>
      </c>
      <c r="F254" s="10">
        <v>5905736</v>
      </c>
      <c r="G254" s="12">
        <v>4764859</v>
      </c>
    </row>
    <row r="255" spans="1:7" ht="15.75" thickBot="1">
      <c r="A255" s="4">
        <v>44440</v>
      </c>
      <c r="B255" s="3">
        <f t="shared" si="20"/>
        <v>76754638</v>
      </c>
      <c r="C255" s="3">
        <f t="shared" si="21"/>
        <v>77910201</v>
      </c>
      <c r="D255" s="5">
        <f t="shared" si="22"/>
        <v>1.015055285649318</v>
      </c>
      <c r="E255" s="18">
        <v>65.2</v>
      </c>
      <c r="F255" s="10">
        <v>8734892</v>
      </c>
      <c r="G255" s="12">
        <v>7678358</v>
      </c>
    </row>
    <row r="256" spans="1:7" ht="15.75" thickBot="1">
      <c r="A256" s="4">
        <v>44470</v>
      </c>
      <c r="B256" s="3">
        <f t="shared" si="20"/>
        <v>78545084</v>
      </c>
      <c r="C256" s="3">
        <f t="shared" si="21"/>
        <v>76839028</v>
      </c>
      <c r="D256" s="5">
        <f t="shared" si="22"/>
        <v>0.97827927716010843</v>
      </c>
      <c r="E256" s="18">
        <v>64.5</v>
      </c>
      <c r="F256" s="10">
        <v>8012446</v>
      </c>
      <c r="G256" s="12">
        <v>6748827</v>
      </c>
    </row>
    <row r="257" spans="1:9" ht="15.75" thickBot="1">
      <c r="A257" s="4">
        <v>44501</v>
      </c>
      <c r="B257" s="3">
        <f t="shared" si="20"/>
        <v>79540405</v>
      </c>
      <c r="C257" s="3">
        <f t="shared" si="21"/>
        <v>78957735</v>
      </c>
      <c r="D257" s="5">
        <f t="shared" si="22"/>
        <v>0.99267454069412897</v>
      </c>
      <c r="E257" s="18">
        <v>62.9</v>
      </c>
      <c r="F257" s="10">
        <v>7175321</v>
      </c>
      <c r="G257" s="12">
        <v>7684707</v>
      </c>
      <c r="I257" t="s">
        <v>11</v>
      </c>
    </row>
    <row r="258" spans="1:9" ht="15.75" thickBot="1">
      <c r="A258" s="4">
        <v>44531</v>
      </c>
      <c r="B258" s="3">
        <f t="shared" si="20"/>
        <v>76749826</v>
      </c>
      <c r="C258" s="3">
        <f t="shared" si="21"/>
        <v>79337052</v>
      </c>
      <c r="D258" s="5">
        <f t="shared" si="22"/>
        <v>1.0337098614399465</v>
      </c>
      <c r="E258" s="18">
        <v>61.1</v>
      </c>
      <c r="F258" s="10">
        <v>5881757</v>
      </c>
      <c r="G258" s="12">
        <v>6172428</v>
      </c>
    </row>
    <row r="259" spans="1:9" ht="15.75" thickBot="1">
      <c r="A259" s="4">
        <v>44562</v>
      </c>
      <c r="B259" s="3">
        <f t="shared" si="20"/>
        <v>78349568</v>
      </c>
      <c r="C259" s="3">
        <f t="shared" si="21"/>
        <v>83653261</v>
      </c>
      <c r="D259" s="5">
        <f t="shared" si="22"/>
        <v>1.0676926897669685</v>
      </c>
      <c r="E259" s="18">
        <v>61.9</v>
      </c>
      <c r="F259" s="10">
        <v>6487811</v>
      </c>
      <c r="G259" s="12">
        <v>7664395</v>
      </c>
    </row>
    <row r="260" spans="1:9" ht="15.75" thickBot="1">
      <c r="A260" s="4">
        <v>44593</v>
      </c>
      <c r="B260" s="3">
        <f t="shared" si="20"/>
        <v>80345099</v>
      </c>
      <c r="C260" s="3">
        <f t="shared" si="21"/>
        <v>84434811</v>
      </c>
      <c r="D260" s="5">
        <f t="shared" si="22"/>
        <v>1.0509018228977476</v>
      </c>
      <c r="E260" s="18">
        <v>57.5</v>
      </c>
      <c r="F260" s="10">
        <v>6594827</v>
      </c>
      <c r="G260" s="12">
        <v>6947661</v>
      </c>
    </row>
    <row r="261" spans="1:9" ht="15.75" thickBot="1">
      <c r="A261" s="4">
        <v>44621</v>
      </c>
      <c r="B261" s="3">
        <f t="shared" si="20"/>
        <v>81603545</v>
      </c>
      <c r="C261" s="3">
        <f t="shared" si="21"/>
        <v>80577040</v>
      </c>
      <c r="D261" s="5">
        <f t="shared" si="22"/>
        <v>0.98742082834759204</v>
      </c>
      <c r="E261" s="18">
        <v>57</v>
      </c>
      <c r="F261" s="10">
        <v>8978516</v>
      </c>
      <c r="G261" s="12">
        <v>6584300</v>
      </c>
    </row>
    <row r="262" spans="1:9" ht="15.75" thickBot="1">
      <c r="A262" s="4">
        <v>44652</v>
      </c>
      <c r="B262" s="3">
        <f t="shared" si="20"/>
        <v>79886463</v>
      </c>
      <c r="C262" s="3">
        <f t="shared" si="21"/>
        <v>81662243</v>
      </c>
      <c r="D262" s="5">
        <f t="shared" si="22"/>
        <v>1.0222287973871118</v>
      </c>
      <c r="E262" s="18">
        <v>54.2</v>
      </c>
      <c r="F262" s="10">
        <v>5060370</v>
      </c>
      <c r="G262" s="12">
        <v>7402047</v>
      </c>
    </row>
    <row r="263" spans="1:9" ht="15.75" thickBot="1">
      <c r="A263" s="4">
        <v>44682</v>
      </c>
      <c r="B263" s="3">
        <f t="shared" si="20"/>
        <v>79628235</v>
      </c>
      <c r="C263" s="3">
        <f t="shared" si="21"/>
        <v>79656284</v>
      </c>
      <c r="D263" s="5">
        <f t="shared" si="22"/>
        <v>1.000352249425094</v>
      </c>
      <c r="E263" s="18">
        <v>54.6</v>
      </c>
      <c r="F263" s="10">
        <v>6538813</v>
      </c>
      <c r="G263" s="12">
        <v>7075113</v>
      </c>
    </row>
    <row r="264" spans="1:9" ht="15.75" thickBot="1">
      <c r="A264" s="4">
        <v>44713</v>
      </c>
      <c r="B264" s="3">
        <f t="shared" si="20"/>
        <v>79046599</v>
      </c>
      <c r="C264" s="3">
        <f t="shared" si="21"/>
        <v>82786440</v>
      </c>
      <c r="D264" s="5">
        <f t="shared" si="22"/>
        <v>1.0473118520886648</v>
      </c>
      <c r="E264" s="18">
        <v>52.9</v>
      </c>
      <c r="F264" s="10">
        <v>5543846</v>
      </c>
      <c r="G264" s="12">
        <v>9547255</v>
      </c>
    </row>
    <row r="265" spans="1:9" ht="15.75" thickBot="1">
      <c r="A265" s="4">
        <v>44743</v>
      </c>
      <c r="B265" s="3">
        <f t="shared" si="20"/>
        <v>81827648</v>
      </c>
      <c r="C265" s="3">
        <f t="shared" si="21"/>
        <v>84997978</v>
      </c>
      <c r="D265" s="5">
        <f t="shared" si="22"/>
        <v>1.0387439951836328</v>
      </c>
      <c r="E265" s="18">
        <v>51.9</v>
      </c>
      <c r="F265" s="10">
        <v>6913313</v>
      </c>
      <c r="G265" s="12">
        <v>6728028</v>
      </c>
    </row>
    <row r="266" spans="1:9" ht="15.75" thickBot="1">
      <c r="A266" s="4">
        <v>44774</v>
      </c>
      <c r="B266" s="3">
        <f t="shared" ref="B266:B287" si="23">SUM(F255:F266)</f>
        <v>82862676</v>
      </c>
      <c r="C266" s="3">
        <f t="shared" ref="C266:C287" si="24">SUM(G255:G266)</f>
        <v>84416840</v>
      </c>
      <c r="D266" s="5">
        <f t="shared" ref="D266:D291" si="25">SUM(C266/B266)</f>
        <v>1.0187558992181232</v>
      </c>
      <c r="E266" s="18">
        <v>49.8</v>
      </c>
      <c r="F266" s="10">
        <v>6940764</v>
      </c>
      <c r="G266" s="12">
        <v>4183721</v>
      </c>
    </row>
    <row r="267" spans="1:9" ht="15.75" thickBot="1">
      <c r="A267" s="4">
        <v>44805</v>
      </c>
      <c r="B267" s="3">
        <f t="shared" si="23"/>
        <v>80932128</v>
      </c>
      <c r="C267" s="3">
        <f t="shared" si="24"/>
        <v>83477667</v>
      </c>
      <c r="D267" s="5">
        <f t="shared" si="25"/>
        <v>1.0314527624925418</v>
      </c>
      <c r="E267" s="18">
        <v>49.9</v>
      </c>
      <c r="F267" s="10">
        <v>6804344</v>
      </c>
      <c r="G267" s="12">
        <v>6739185</v>
      </c>
    </row>
    <row r="268" spans="1:9" ht="15.75" thickBot="1">
      <c r="A268" s="4">
        <v>44835</v>
      </c>
      <c r="B268" s="3">
        <f t="shared" si="23"/>
        <v>82832175</v>
      </c>
      <c r="C268" s="3">
        <f t="shared" si="24"/>
        <v>85615708</v>
      </c>
      <c r="D268" s="5">
        <f t="shared" si="25"/>
        <v>1.0336044900426675</v>
      </c>
      <c r="E268" s="18">
        <v>47.1</v>
      </c>
      <c r="F268" s="10">
        <v>9912493</v>
      </c>
      <c r="G268" s="12">
        <v>8886868</v>
      </c>
    </row>
    <row r="269" spans="1:9" ht="15.75" thickBot="1">
      <c r="A269" s="4">
        <v>44866</v>
      </c>
      <c r="B269" s="3">
        <f t="shared" si="23"/>
        <v>84495664</v>
      </c>
      <c r="C269" s="3">
        <f t="shared" si="24"/>
        <v>89929607</v>
      </c>
      <c r="D269" s="5">
        <f t="shared" si="25"/>
        <v>1.0643103177460089</v>
      </c>
      <c r="E269" s="18">
        <v>45.6</v>
      </c>
      <c r="F269" s="10">
        <v>8838810</v>
      </c>
      <c r="G269" s="12">
        <v>11998606</v>
      </c>
    </row>
    <row r="270" spans="1:9" ht="15.75" thickBot="1">
      <c r="A270" s="4">
        <v>44896</v>
      </c>
      <c r="B270" s="3">
        <f t="shared" si="23"/>
        <v>85352650</v>
      </c>
      <c r="C270" s="3">
        <f t="shared" si="24"/>
        <v>90845785</v>
      </c>
      <c r="D270" s="5">
        <f t="shared" si="25"/>
        <v>1.0643581072175263</v>
      </c>
      <c r="E270" s="18">
        <v>45.8</v>
      </c>
      <c r="F270" s="10">
        <v>6738743</v>
      </c>
      <c r="G270" s="12">
        <v>7088606</v>
      </c>
    </row>
    <row r="271" spans="1:9" ht="15.75" thickBot="1">
      <c r="A271" s="4">
        <v>44927</v>
      </c>
      <c r="B271" s="3">
        <f t="shared" si="23"/>
        <v>86167248</v>
      </c>
      <c r="C271" s="3">
        <f t="shared" si="24"/>
        <v>90597763</v>
      </c>
      <c r="D271" s="5">
        <f t="shared" si="25"/>
        <v>1.051417622157319</v>
      </c>
      <c r="E271" s="18">
        <v>46.9</v>
      </c>
      <c r="F271" s="10">
        <v>7302409</v>
      </c>
      <c r="G271" s="12">
        <v>7416373</v>
      </c>
    </row>
    <row r="272" spans="1:9" ht="15.75" thickBot="1">
      <c r="A272" s="4">
        <v>44958</v>
      </c>
      <c r="B272" s="3">
        <f t="shared" si="23"/>
        <v>86633987</v>
      </c>
      <c r="C272" s="3">
        <f t="shared" si="24"/>
        <v>91431058</v>
      </c>
      <c r="D272" s="5">
        <f t="shared" si="25"/>
        <v>1.0553716984074621</v>
      </c>
      <c r="E272" s="18">
        <v>46.9</v>
      </c>
      <c r="F272" s="10">
        <v>7061566</v>
      </c>
      <c r="G272" s="12">
        <v>7780956</v>
      </c>
    </row>
    <row r="273" spans="1:7" ht="15.75" thickBot="1">
      <c r="A273" s="4">
        <v>44986</v>
      </c>
      <c r="B273" s="3">
        <f t="shared" si="23"/>
        <v>86959855</v>
      </c>
      <c r="C273" s="3">
        <f t="shared" si="24"/>
        <v>92964713</v>
      </c>
      <c r="D273" s="5">
        <f t="shared" si="25"/>
        <v>1.0690532200174436</v>
      </c>
      <c r="E273" s="18">
        <v>45.5</v>
      </c>
      <c r="F273" s="10">
        <v>9304384</v>
      </c>
      <c r="G273" s="12">
        <v>8117955</v>
      </c>
    </row>
    <row r="274" spans="1:7" ht="15.75" thickBot="1">
      <c r="A274" s="4">
        <v>45017</v>
      </c>
      <c r="B274" s="3">
        <f t="shared" si="23"/>
        <v>88742192</v>
      </c>
      <c r="C274" s="3">
        <f t="shared" si="24"/>
        <v>98959219</v>
      </c>
      <c r="D274" s="5">
        <f t="shared" si="25"/>
        <v>1.1151315599686786</v>
      </c>
      <c r="E274" s="18">
        <v>45.3</v>
      </c>
      <c r="F274" s="10">
        <v>6842707</v>
      </c>
      <c r="G274" s="12">
        <v>13396553</v>
      </c>
    </row>
    <row r="275" spans="1:7" ht="15.75" thickBot="1">
      <c r="A275" s="4">
        <v>45047</v>
      </c>
      <c r="B275" s="3">
        <f t="shared" si="23"/>
        <v>90286303</v>
      </c>
      <c r="C275" s="3">
        <f t="shared" si="24"/>
        <v>99642926</v>
      </c>
      <c r="D275" s="5">
        <f t="shared" si="25"/>
        <v>1.1036328068500048</v>
      </c>
      <c r="E275" s="18">
        <v>40.4</v>
      </c>
      <c r="F275" s="10">
        <v>8082924</v>
      </c>
      <c r="G275" s="12">
        <v>7758820</v>
      </c>
    </row>
    <row r="276" spans="1:7" ht="15.75" thickBot="1">
      <c r="A276" s="4">
        <v>45078</v>
      </c>
      <c r="B276" s="3">
        <f t="shared" si="23"/>
        <v>96774586</v>
      </c>
      <c r="C276" s="3">
        <f t="shared" si="24"/>
        <v>100899098</v>
      </c>
      <c r="D276" s="5">
        <f t="shared" si="25"/>
        <v>1.0426197844959006</v>
      </c>
      <c r="E276" s="18">
        <v>44.8</v>
      </c>
      <c r="F276" s="10">
        <v>12032129</v>
      </c>
      <c r="G276" s="12">
        <v>10803427</v>
      </c>
    </row>
    <row r="277" spans="1:7" ht="15.75" thickBot="1">
      <c r="A277" s="4">
        <v>45108</v>
      </c>
      <c r="B277" s="3">
        <f t="shared" si="23"/>
        <v>93817646</v>
      </c>
      <c r="C277" s="3">
        <f t="shared" si="24"/>
        <v>98768652</v>
      </c>
      <c r="D277" s="5">
        <f t="shared" si="25"/>
        <v>1.0527726521724921</v>
      </c>
      <c r="E277" s="18">
        <v>48.4</v>
      </c>
      <c r="F277" s="10">
        <v>3956373</v>
      </c>
      <c r="G277" s="12">
        <v>4597582</v>
      </c>
    </row>
    <row r="278" spans="1:7" ht="15.75" thickBot="1">
      <c r="A278" s="4">
        <v>45139</v>
      </c>
      <c r="B278" s="3">
        <f t="shared" si="23"/>
        <v>93694960</v>
      </c>
      <c r="C278" s="3">
        <f t="shared" si="24"/>
        <v>100424656</v>
      </c>
      <c r="D278" s="5">
        <f t="shared" si="25"/>
        <v>1.0718255923264175</v>
      </c>
      <c r="E278" s="18">
        <v>45.8</v>
      </c>
      <c r="F278" s="10">
        <v>6818078</v>
      </c>
      <c r="G278" s="12">
        <v>5839725</v>
      </c>
    </row>
    <row r="279" spans="1:7" ht="15.75" thickBot="1">
      <c r="A279" s="4">
        <v>45170</v>
      </c>
      <c r="B279" s="3">
        <f t="shared" si="23"/>
        <v>95733839</v>
      </c>
      <c r="C279" s="3">
        <f t="shared" si="24"/>
        <v>100886116</v>
      </c>
      <c r="D279" s="5">
        <f t="shared" si="25"/>
        <v>1.0538187651703803</v>
      </c>
      <c r="E279" s="18">
        <v>44.2</v>
      </c>
      <c r="F279" s="10">
        <v>8843223</v>
      </c>
      <c r="G279" s="12">
        <v>7200645</v>
      </c>
    </row>
    <row r="280" spans="1:7" ht="15.75" thickBot="1">
      <c r="A280" s="4">
        <v>45200</v>
      </c>
      <c r="B280" s="3">
        <f t="shared" si="23"/>
        <v>96264276</v>
      </c>
      <c r="C280" s="3">
        <f t="shared" si="24"/>
        <v>100966922</v>
      </c>
      <c r="D280" s="5">
        <f t="shared" si="25"/>
        <v>1.0488514139970262</v>
      </c>
      <c r="E280" s="18">
        <v>46.3</v>
      </c>
      <c r="F280" s="10">
        <v>10442930</v>
      </c>
      <c r="G280" s="12">
        <v>8967674</v>
      </c>
    </row>
    <row r="281" spans="1:7" ht="15.75" thickBot="1">
      <c r="A281" s="4">
        <v>45231</v>
      </c>
      <c r="B281" s="3">
        <f t="shared" si="23"/>
        <v>104109616</v>
      </c>
      <c r="C281" s="3">
        <f t="shared" si="24"/>
        <v>99343452</v>
      </c>
      <c r="D281" s="5">
        <f t="shared" si="25"/>
        <v>0.95421975238099044</v>
      </c>
      <c r="E281" s="18">
        <v>48.9</v>
      </c>
      <c r="F281" s="10">
        <v>16684150</v>
      </c>
      <c r="G281" s="12">
        <v>10375136</v>
      </c>
    </row>
    <row r="282" spans="1:7" ht="15.75" thickBot="1">
      <c r="A282" s="4">
        <v>45261</v>
      </c>
      <c r="B282" s="3">
        <f t="shared" si="23"/>
        <v>104473521</v>
      </c>
      <c r="C282" s="3">
        <f t="shared" si="24"/>
        <v>99040974</v>
      </c>
      <c r="D282" s="5">
        <f t="shared" si="25"/>
        <v>0.9480007283376618</v>
      </c>
      <c r="E282" s="18">
        <v>49</v>
      </c>
      <c r="F282" s="10">
        <v>7102648</v>
      </c>
      <c r="G282" s="12">
        <v>6786128</v>
      </c>
    </row>
    <row r="283" spans="1:7" ht="15.75" thickBot="1">
      <c r="A283" s="4">
        <v>45292</v>
      </c>
      <c r="B283" s="3">
        <f t="shared" si="23"/>
        <v>106462354</v>
      </c>
      <c r="C283" s="3">
        <f t="shared" si="24"/>
        <v>100995552</v>
      </c>
      <c r="D283" s="5">
        <f t="shared" si="25"/>
        <v>0.9486503745727809</v>
      </c>
      <c r="E283" s="18">
        <v>47.4</v>
      </c>
      <c r="F283" s="10">
        <v>9291242</v>
      </c>
      <c r="G283" s="12">
        <v>9370951</v>
      </c>
    </row>
    <row r="284" spans="1:7" ht="15.75" thickBot="1">
      <c r="A284" s="4">
        <v>45323</v>
      </c>
      <c r="B284" s="3">
        <f t="shared" si="23"/>
        <v>109758275</v>
      </c>
      <c r="C284" s="3">
        <f t="shared" si="24"/>
        <v>103530632</v>
      </c>
      <c r="D284" s="5">
        <f t="shared" si="25"/>
        <v>0.94326037831771681</v>
      </c>
      <c r="E284" s="18">
        <v>49.3</v>
      </c>
      <c r="F284" s="10">
        <v>10357487</v>
      </c>
      <c r="G284" s="12">
        <v>10316036</v>
      </c>
    </row>
    <row r="285" spans="1:7" ht="15.75" thickBot="1">
      <c r="A285" s="4">
        <v>45352</v>
      </c>
      <c r="B285" s="3">
        <f t="shared" si="23"/>
        <v>109472658</v>
      </c>
      <c r="C285" s="3">
        <f t="shared" si="24"/>
        <v>102918380</v>
      </c>
      <c r="D285" s="5">
        <f t="shared" si="25"/>
        <v>0.94012863010962977</v>
      </c>
      <c r="E285" s="18">
        <v>50.2</v>
      </c>
      <c r="F285" s="10">
        <v>9018767</v>
      </c>
      <c r="G285" s="12">
        <v>7505703</v>
      </c>
    </row>
    <row r="286" spans="1:7" ht="15.75" thickBot="1">
      <c r="A286" s="4">
        <v>45383</v>
      </c>
      <c r="B286" s="3">
        <f t="shared" si="23"/>
        <v>110178263</v>
      </c>
      <c r="C286" s="3">
        <f t="shared" si="24"/>
        <v>98198343</v>
      </c>
      <c r="D286" s="5">
        <f t="shared" si="25"/>
        <v>0.89126784472904608</v>
      </c>
      <c r="E286" s="18">
        <v>51.3</v>
      </c>
      <c r="F286" s="10">
        <v>7548312</v>
      </c>
      <c r="G286" s="12">
        <v>8676516</v>
      </c>
    </row>
    <row r="287" spans="1:7" ht="15.75" thickBot="1">
      <c r="A287" s="4">
        <v>45413</v>
      </c>
      <c r="B287" s="3">
        <f t="shared" si="23"/>
        <v>109511123</v>
      </c>
      <c r="C287" s="3">
        <f t="shared" si="24"/>
        <v>97658392</v>
      </c>
      <c r="D287" s="5">
        <f t="shared" si="25"/>
        <v>0.89176687558943213</v>
      </c>
      <c r="E287" s="18">
        <v>54.2</v>
      </c>
      <c r="F287" s="10">
        <v>7415784</v>
      </c>
      <c r="G287" s="12">
        <v>7218869</v>
      </c>
    </row>
    <row r="288" spans="1:7" ht="15.75" thickBot="1">
      <c r="A288" s="4">
        <v>45444</v>
      </c>
      <c r="B288" s="3">
        <f t="shared" ref="B288:B307" si="26">SUM(F277:F288)</f>
        <v>105414943</v>
      </c>
      <c r="C288" s="3">
        <f t="shared" ref="C288:C292" si="27">SUM(G277:G288)</f>
        <v>94467141</v>
      </c>
      <c r="D288" s="5">
        <f t="shared" si="25"/>
        <v>0.89614563468482833</v>
      </c>
      <c r="E288" s="18">
        <v>53.3</v>
      </c>
      <c r="F288" s="10">
        <v>7935949</v>
      </c>
      <c r="G288" s="12">
        <v>7612176</v>
      </c>
    </row>
    <row r="289" spans="1:7" ht="15.75" thickBot="1">
      <c r="A289" s="4">
        <v>45474</v>
      </c>
      <c r="B289" s="3">
        <f t="shared" si="26"/>
        <v>107650601</v>
      </c>
      <c r="C289" s="3">
        <f t="shared" si="27"/>
        <v>97128354</v>
      </c>
      <c r="D289" s="5">
        <f t="shared" si="25"/>
        <v>0.90225556659920547</v>
      </c>
      <c r="E289" s="18">
        <v>49.5</v>
      </c>
      <c r="F289" s="10">
        <v>6192031</v>
      </c>
      <c r="G289" s="12">
        <v>7258795</v>
      </c>
    </row>
    <row r="290" spans="1:7" ht="15.75" thickBot="1">
      <c r="A290" s="4">
        <v>45505</v>
      </c>
      <c r="B290" s="3">
        <f t="shared" si="26"/>
        <v>110461796</v>
      </c>
      <c r="C290" s="3">
        <f t="shared" si="27"/>
        <v>102526220</v>
      </c>
      <c r="D290" s="5">
        <f t="shared" si="25"/>
        <v>0.92815999479132139</v>
      </c>
      <c r="E290" s="18">
        <v>52.6</v>
      </c>
      <c r="F290" s="10">
        <v>9629273</v>
      </c>
      <c r="G290" s="12">
        <v>11237591</v>
      </c>
    </row>
    <row r="291" spans="1:7" ht="15.75" thickBot="1">
      <c r="A291" s="4">
        <v>45536</v>
      </c>
      <c r="B291" s="3">
        <f t="shared" si="26"/>
        <v>110050502</v>
      </c>
      <c r="C291" s="3">
        <f t="shared" si="27"/>
        <v>102787593</v>
      </c>
      <c r="D291" s="5">
        <f t="shared" si="25"/>
        <v>0.93400385397605912</v>
      </c>
      <c r="E291" s="18">
        <v>51.4</v>
      </c>
      <c r="F291" s="10">
        <v>8431929</v>
      </c>
      <c r="G291" s="12">
        <v>7462018</v>
      </c>
    </row>
    <row r="292" spans="1:7" ht="15.75" thickBot="1">
      <c r="A292" s="4">
        <v>45566</v>
      </c>
      <c r="B292" s="3">
        <f t="shared" si="26"/>
        <v>108767310</v>
      </c>
      <c r="C292" s="3">
        <f>SUM(G281:G292)</f>
        <v>104646841</v>
      </c>
      <c r="D292" s="5">
        <f>SUM(C292/B292)</f>
        <v>0.96211665986774886</v>
      </c>
      <c r="E292" s="18">
        <v>53</v>
      </c>
      <c r="F292" s="10">
        <v>9159738</v>
      </c>
      <c r="G292" s="12">
        <v>10826922</v>
      </c>
    </row>
    <row r="293" spans="1:7" ht="15.75" thickBot="1">
      <c r="A293" s="4">
        <v>45597</v>
      </c>
      <c r="B293" s="3">
        <f t="shared" si="26"/>
        <v>103796133</v>
      </c>
      <c r="C293" s="3">
        <f t="shared" ref="C293:C307" si="28">SUM(G282:G293)</f>
        <v>103421299</v>
      </c>
      <c r="D293" s="5">
        <f t="shared" ref="D293:D307" si="29">SUM(C293/B293)</f>
        <v>0.99638874793148602</v>
      </c>
      <c r="E293" s="18">
        <v>53.8</v>
      </c>
      <c r="F293" s="10">
        <v>11712973</v>
      </c>
      <c r="G293" s="12">
        <v>9149594</v>
      </c>
    </row>
    <row r="294" spans="1:7" ht="15.75" thickBot="1">
      <c r="A294" s="4">
        <v>45627</v>
      </c>
      <c r="B294" s="3">
        <f t="shared" si="26"/>
        <v>106943155</v>
      </c>
      <c r="C294" s="3">
        <f t="shared" si="28"/>
        <v>104165316</v>
      </c>
      <c r="D294" s="5">
        <f t="shared" si="29"/>
        <v>0.97402508837522139</v>
      </c>
      <c r="E294" s="18">
        <v>52.4</v>
      </c>
      <c r="F294" s="10">
        <v>10249670</v>
      </c>
      <c r="G294" s="12">
        <v>7530145</v>
      </c>
    </row>
    <row r="295" spans="1:7" ht="15.75" thickBot="1">
      <c r="A295" s="4">
        <v>45658</v>
      </c>
      <c r="B295" s="3">
        <f t="shared" si="26"/>
        <v>105609401</v>
      </c>
      <c r="C295" s="3">
        <f t="shared" si="28"/>
        <v>104189562</v>
      </c>
      <c r="D295" s="5">
        <f t="shared" si="29"/>
        <v>0.98655575179334654</v>
      </c>
      <c r="E295" s="18">
        <v>53.1</v>
      </c>
      <c r="F295" s="10">
        <v>7957488</v>
      </c>
      <c r="G295" s="12">
        <v>9395197</v>
      </c>
    </row>
    <row r="296" spans="1:7" ht="15.75" thickBot="1">
      <c r="A296" s="4">
        <v>45689</v>
      </c>
      <c r="B296" s="3">
        <f t="shared" si="26"/>
        <v>104649972</v>
      </c>
      <c r="C296" s="3">
        <f t="shared" si="28"/>
        <v>100998418</v>
      </c>
      <c r="D296" s="5">
        <f t="shared" si="29"/>
        <v>0.96510697585279814</v>
      </c>
      <c r="E296" s="18">
        <v>53.4</v>
      </c>
      <c r="F296" s="10">
        <v>9398058</v>
      </c>
      <c r="G296" s="12">
        <v>7124892</v>
      </c>
    </row>
    <row r="297" spans="1:7" ht="15.75" thickBot="1">
      <c r="A297" s="4">
        <v>45717</v>
      </c>
      <c r="B297" s="3">
        <f t="shared" si="26"/>
        <v>104283897</v>
      </c>
      <c r="C297" s="3">
        <f t="shared" si="28"/>
        <v>104557546</v>
      </c>
      <c r="D297" s="5">
        <f t="shared" si="29"/>
        <v>1.0026240772340911</v>
      </c>
      <c r="E297" s="18">
        <v>53.8</v>
      </c>
      <c r="F297" s="10">
        <v>8652692</v>
      </c>
      <c r="G297" s="12">
        <v>11064831</v>
      </c>
    </row>
    <row r="298" spans="1:7" ht="15.75" thickBot="1">
      <c r="A298" s="4">
        <v>45748</v>
      </c>
      <c r="B298" s="3">
        <f t="shared" si="26"/>
        <v>107647308</v>
      </c>
      <c r="C298" s="3">
        <f t="shared" si="28"/>
        <v>104793204</v>
      </c>
      <c r="D298" s="5">
        <f t="shared" si="29"/>
        <v>0.97348652694594096</v>
      </c>
      <c r="E298" s="18">
        <v>54.1</v>
      </c>
      <c r="F298" s="10">
        <v>10911723</v>
      </c>
      <c r="G298" s="12">
        <v>8912174</v>
      </c>
    </row>
    <row r="299" spans="1:7" ht="15.75" thickBot="1">
      <c r="A299" s="4">
        <v>45778</v>
      </c>
      <c r="B299" s="3">
        <f t="shared" si="26"/>
        <v>107602847</v>
      </c>
      <c r="C299" s="3">
        <f t="shared" si="28"/>
        <v>104964933</v>
      </c>
      <c r="D299" s="5">
        <f t="shared" si="29"/>
        <v>0.97548471928442559</v>
      </c>
      <c r="E299" s="18">
        <v>53.6</v>
      </c>
      <c r="F299" s="10">
        <v>7371323</v>
      </c>
      <c r="G299" s="12">
        <v>7390598</v>
      </c>
    </row>
    <row r="300" spans="1:7" ht="15.75" thickBot="1">
      <c r="A300" s="4">
        <v>45809</v>
      </c>
      <c r="B300" s="3">
        <f t="shared" si="26"/>
        <v>107474596</v>
      </c>
      <c r="C300" s="3">
        <f t="shared" si="28"/>
        <v>108269066</v>
      </c>
      <c r="D300" s="5">
        <f t="shared" si="29"/>
        <v>1.0073921654936948</v>
      </c>
      <c r="E300" s="18">
        <v>51.9</v>
      </c>
      <c r="F300" s="10">
        <v>7807698</v>
      </c>
      <c r="G300" s="12">
        <v>10916309</v>
      </c>
    </row>
    <row r="301" spans="1:7" ht="15.75" thickBot="1">
      <c r="A301" s="4">
        <v>45839</v>
      </c>
      <c r="B301" s="3">
        <f t="shared" si="26"/>
        <v>107000697</v>
      </c>
      <c r="C301" s="3">
        <f t="shared" si="28"/>
        <v>108858422</v>
      </c>
      <c r="D301" s="5">
        <f t="shared" si="29"/>
        <v>1.0173618027927425</v>
      </c>
      <c r="E301" s="18">
        <v>54.6</v>
      </c>
      <c r="F301" s="10">
        <v>5718132</v>
      </c>
      <c r="G301" s="12">
        <v>7848151</v>
      </c>
    </row>
    <row r="302" spans="1:7" ht="15.75" thickBot="1">
      <c r="A302" s="4">
        <v>45870</v>
      </c>
      <c r="B302" s="3">
        <f t="shared" si="26"/>
        <v>106233086</v>
      </c>
      <c r="C302" s="3">
        <f t="shared" si="28"/>
        <v>105152062</v>
      </c>
      <c r="D302" s="5">
        <f t="shared" si="29"/>
        <v>0.98982403655298123</v>
      </c>
      <c r="E302" s="18">
        <v>55.3</v>
      </c>
      <c r="F302" s="10">
        <v>8861662</v>
      </c>
      <c r="G302" s="12">
        <v>7531231</v>
      </c>
    </row>
    <row r="303" spans="1:7" ht="15.75" thickBot="1">
      <c r="A303" s="4">
        <v>45901</v>
      </c>
      <c r="B303" s="3">
        <f t="shared" si="26"/>
        <v>107062103</v>
      </c>
      <c r="C303" s="3">
        <f t="shared" si="28"/>
        <v>107511037</v>
      </c>
      <c r="D303" s="5">
        <f t="shared" si="29"/>
        <v>1.0041932111122458</v>
      </c>
      <c r="E303" s="18">
        <v>55.6</v>
      </c>
      <c r="F303" s="10">
        <v>9260946</v>
      </c>
      <c r="G303" s="12">
        <v>9820993</v>
      </c>
    </row>
    <row r="304" spans="1:7" ht="15.75" thickBot="1">
      <c r="A304" s="4">
        <v>45931</v>
      </c>
      <c r="B304" s="3">
        <f t="shared" si="26"/>
        <v>107538595</v>
      </c>
      <c r="C304" s="3">
        <f t="shared" si="28"/>
        <v>108008847</v>
      </c>
      <c r="D304" s="5">
        <f t="shared" si="29"/>
        <v>1.0043728672482657</v>
      </c>
      <c r="E304" s="18">
        <v>55.1</v>
      </c>
      <c r="F304" s="10">
        <v>9636230</v>
      </c>
      <c r="G304" s="12">
        <v>11324732</v>
      </c>
    </row>
    <row r="305" spans="1:7" ht="15.75" thickBot="1">
      <c r="A305" s="4">
        <v>45962</v>
      </c>
      <c r="B305" s="3">
        <f t="shared" si="26"/>
        <v>105191977</v>
      </c>
      <c r="C305" s="3">
        <f t="shared" si="28"/>
        <v>108764597</v>
      </c>
      <c r="D305" s="5">
        <f t="shared" si="29"/>
        <v>1.0339628563117509</v>
      </c>
      <c r="E305" s="18">
        <v>54.8</v>
      </c>
      <c r="F305" s="10">
        <v>9366355</v>
      </c>
      <c r="G305" s="12">
        <v>9905344</v>
      </c>
    </row>
    <row r="306" spans="1:7" ht="15.75" thickBot="1">
      <c r="A306" s="4">
        <v>45992</v>
      </c>
      <c r="B306" s="3">
        <f t="shared" si="26"/>
        <v>106189676</v>
      </c>
      <c r="C306" s="3">
        <f t="shared" si="28"/>
        <v>113521882</v>
      </c>
      <c r="D306" s="5">
        <f t="shared" si="29"/>
        <v>1.0690482001282309</v>
      </c>
      <c r="E306" s="18">
        <v>55.4</v>
      </c>
      <c r="F306" s="10">
        <v>11247369</v>
      </c>
      <c r="G306" s="12">
        <v>12287430</v>
      </c>
    </row>
    <row r="307" spans="1:7" ht="15.75" thickBot="1">
      <c r="A307" s="4">
        <v>46023</v>
      </c>
      <c r="B307" s="3">
        <f t="shared" si="26"/>
        <v>107940445</v>
      </c>
      <c r="C307" s="3">
        <f t="shared" si="28"/>
        <v>114279470</v>
      </c>
      <c r="D307" s="5">
        <f t="shared" si="29"/>
        <v>1.0587270600931837</v>
      </c>
      <c r="E307" s="18">
        <v>56</v>
      </c>
      <c r="F307" s="10">
        <v>9708257</v>
      </c>
      <c r="G307" s="12">
        <v>10152785</v>
      </c>
    </row>
    <row r="308" spans="1:7">
      <c r="A308" s="4">
        <v>46054</v>
      </c>
      <c r="B308" s="3"/>
      <c r="F308" s="10"/>
      <c r="G308" s="12"/>
    </row>
    <row r="309" spans="1:7">
      <c r="A309" s="4">
        <v>46082</v>
      </c>
      <c r="F309" s="10"/>
      <c r="G309" s="12"/>
    </row>
    <row r="310" spans="1:7">
      <c r="A310" s="4">
        <v>46113</v>
      </c>
      <c r="F310" s="10"/>
      <c r="G310" s="12"/>
    </row>
    <row r="311" spans="1:7">
      <c r="A311" s="4">
        <v>46143</v>
      </c>
      <c r="F311" s="10"/>
      <c r="G311" s="12"/>
    </row>
    <row r="312" spans="1:7">
      <c r="A312" s="4">
        <v>46174</v>
      </c>
      <c r="F312" s="10"/>
      <c r="G312" s="12"/>
    </row>
    <row r="313" spans="1:7">
      <c r="F313" s="10"/>
      <c r="G313" s="12"/>
    </row>
    <row r="314" spans="1:7">
      <c r="F314" s="10"/>
    </row>
    <row r="315" spans="1:7">
      <c r="F315" s="10"/>
    </row>
    <row r="316" spans="1:7">
      <c r="F316" s="10"/>
    </row>
    <row r="317" spans="1:7">
      <c r="F317" s="10"/>
    </row>
    <row r="318" spans="1:7">
      <c r="F318" s="10"/>
    </row>
    <row r="319" spans="1:7">
      <c r="F319" s="10"/>
    </row>
    <row r="320" spans="1:7">
      <c r="F320" s="10"/>
    </row>
    <row r="321" spans="6:6">
      <c r="F321" s="10"/>
    </row>
    <row r="322" spans="6:6">
      <c r="F322" s="10"/>
    </row>
    <row r="323" spans="6:6">
      <c r="F323" s="10"/>
    </row>
    <row r="324" spans="6:6">
      <c r="F324" s="10"/>
    </row>
    <row r="325" spans="6:6">
      <c r="F325" s="10"/>
    </row>
    <row r="326" spans="6:6">
      <c r="F326" s="10"/>
    </row>
    <row r="327" spans="6:6">
      <c r="F327" s="10"/>
    </row>
    <row r="328" spans="6:6">
      <c r="F328" s="10"/>
    </row>
    <row r="329" spans="6:6">
      <c r="F329" s="10"/>
    </row>
    <row r="330" spans="6:6">
      <c r="F330" s="10"/>
    </row>
    <row r="331" spans="6:6">
      <c r="F331" s="10"/>
    </row>
    <row r="332" spans="6:6">
      <c r="F332" s="10"/>
    </row>
    <row r="333" spans="6:6">
      <c r="F333" s="10"/>
    </row>
    <row r="334" spans="6:6">
      <c r="F334" s="10"/>
    </row>
    <row r="335" spans="6:6">
      <c r="F335" s="10"/>
    </row>
    <row r="336" spans="6:6">
      <c r="F336" s="10"/>
    </row>
    <row r="337" spans="6:6">
      <c r="F337" s="10"/>
    </row>
    <row r="338" spans="6:6">
      <c r="F338" s="10"/>
    </row>
    <row r="339" spans="6:6">
      <c r="F339" s="10"/>
    </row>
    <row r="340" spans="6:6">
      <c r="F340" s="10"/>
    </row>
    <row r="341" spans="6:6">
      <c r="F341" s="10"/>
    </row>
    <row r="342" spans="6:6">
      <c r="F342" s="10"/>
    </row>
    <row r="343" spans="6:6">
      <c r="F343" s="10"/>
    </row>
    <row r="344" spans="6:6">
      <c r="F344" s="10"/>
    </row>
    <row r="345" spans="6:6">
      <c r="F345" s="10"/>
    </row>
    <row r="346" spans="6:6">
      <c r="F346" s="10"/>
    </row>
    <row r="347" spans="6:6">
      <c r="F347" s="10"/>
    </row>
    <row r="348" spans="6:6">
      <c r="F348" s="10"/>
    </row>
    <row r="349" spans="6:6">
      <c r="F349" s="10"/>
    </row>
    <row r="350" spans="6:6">
      <c r="F350" s="10"/>
    </row>
    <row r="351" spans="6:6">
      <c r="F351" s="10"/>
    </row>
    <row r="352" spans="6:6">
      <c r="F352" s="10"/>
    </row>
    <row r="353" spans="6:6">
      <c r="F353" s="10"/>
    </row>
    <row r="354" spans="6:6">
      <c r="F354" s="10"/>
    </row>
    <row r="355" spans="6:6">
      <c r="F355" s="10"/>
    </row>
    <row r="356" spans="6:6">
      <c r="F356" s="10"/>
    </row>
    <row r="357" spans="6:6">
      <c r="F357" s="10"/>
    </row>
    <row r="358" spans="6:6">
      <c r="F358" s="10"/>
    </row>
    <row r="359" spans="6:6">
      <c r="F359" s="10"/>
    </row>
    <row r="360" spans="6:6">
      <c r="F360" s="10"/>
    </row>
    <row r="361" spans="6:6">
      <c r="F361" s="10"/>
    </row>
    <row r="362" spans="6:6">
      <c r="F362" s="10"/>
    </row>
    <row r="363" spans="6:6">
      <c r="F363" s="10"/>
    </row>
    <row r="364" spans="6:6">
      <c r="F364" s="10"/>
    </row>
    <row r="365" spans="6:6">
      <c r="F365" s="10"/>
    </row>
    <row r="366" spans="6:6">
      <c r="F366" s="10"/>
    </row>
    <row r="367" spans="6:6">
      <c r="F367" s="10"/>
    </row>
    <row r="368" spans="6:6">
      <c r="F368" s="10"/>
    </row>
    <row r="369" spans="6:6">
      <c r="F369" s="10"/>
    </row>
    <row r="370" spans="6:6">
      <c r="F370" s="10"/>
    </row>
    <row r="371" spans="6:6">
      <c r="F371" s="10"/>
    </row>
    <row r="372" spans="6:6">
      <c r="F372" s="10"/>
    </row>
    <row r="373" spans="6:6">
      <c r="F373" s="10"/>
    </row>
    <row r="374" spans="6:6">
      <c r="F374" s="10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D64D-993E-4B85-A985-F54795432541}">
  <dimension ref="B2:C377"/>
  <sheetViews>
    <sheetView topLeftCell="A156" workbookViewId="0">
      <selection activeCell="C148" sqref="C88:C148"/>
    </sheetView>
  </sheetViews>
  <sheetFormatPr defaultRowHeight="12.75"/>
  <cols>
    <col min="2" max="2" width="10.28515625" bestFit="1" customWidth="1"/>
  </cols>
  <sheetData>
    <row r="2" spans="2:3">
      <c r="B2" s="16"/>
      <c r="C2" s="16"/>
    </row>
    <row r="3" spans="2:3" ht="16.5" thickBot="1">
      <c r="B3" s="17">
        <v>34639</v>
      </c>
      <c r="C3" s="18">
        <v>70.5</v>
      </c>
    </row>
    <row r="4" spans="2:3" ht="16.5" thickBot="1">
      <c r="B4" s="17">
        <v>34669</v>
      </c>
      <c r="C4" s="18">
        <v>67.099999999999994</v>
      </c>
    </row>
    <row r="5" spans="2:3" ht="16.5" thickBot="1">
      <c r="B5" s="17">
        <v>34700</v>
      </c>
      <c r="C5" s="18">
        <v>64.3</v>
      </c>
    </row>
    <row r="6" spans="2:3" ht="16.5" thickBot="1">
      <c r="B6" s="17">
        <v>34731</v>
      </c>
      <c r="C6" s="18">
        <v>64.8</v>
      </c>
    </row>
    <row r="7" spans="2:3" ht="16.5" thickBot="1">
      <c r="B7" s="17">
        <v>34759</v>
      </c>
      <c r="C7" s="18">
        <v>61.8</v>
      </c>
    </row>
    <row r="8" spans="2:3" ht="16.5" thickBot="1">
      <c r="B8" s="17">
        <v>34790</v>
      </c>
      <c r="C8" s="18">
        <v>60.3</v>
      </c>
    </row>
    <row r="9" spans="2:3" ht="16.5" thickBot="1">
      <c r="B9" s="17">
        <v>34820</v>
      </c>
      <c r="C9" s="18">
        <v>56.1</v>
      </c>
    </row>
    <row r="10" spans="2:3" ht="16.5" thickBot="1">
      <c r="B10" s="17">
        <v>34851</v>
      </c>
      <c r="C10" s="18">
        <v>55.1</v>
      </c>
    </row>
    <row r="11" spans="2:3" ht="16.5" thickBot="1">
      <c r="B11" s="17">
        <v>34881</v>
      </c>
      <c r="C11" s="18">
        <v>56.7</v>
      </c>
    </row>
    <row r="12" spans="2:3" ht="16.5" thickBot="1">
      <c r="B12" s="17">
        <v>34912</v>
      </c>
      <c r="C12" s="18">
        <v>53.2</v>
      </c>
    </row>
    <row r="13" spans="2:3" ht="16.5" thickBot="1">
      <c r="B13" s="17">
        <v>34943</v>
      </c>
      <c r="C13" s="18">
        <v>53.4</v>
      </c>
    </row>
    <row r="14" spans="2:3" ht="16.5" thickBot="1">
      <c r="B14" s="17">
        <v>34973</v>
      </c>
      <c r="C14" s="18">
        <v>52.4</v>
      </c>
    </row>
    <row r="15" spans="2:3" ht="16.5" thickBot="1">
      <c r="B15" s="17">
        <v>35004</v>
      </c>
      <c r="C15" s="18">
        <v>49.3</v>
      </c>
    </row>
    <row r="16" spans="2:3" ht="16.5" thickBot="1">
      <c r="B16" s="17">
        <v>35034</v>
      </c>
      <c r="C16" s="18">
        <v>48.9</v>
      </c>
    </row>
    <row r="17" spans="2:3" ht="16.5" thickBot="1">
      <c r="B17" s="17">
        <v>35065</v>
      </c>
      <c r="C17" s="18">
        <v>46.3</v>
      </c>
    </row>
    <row r="18" spans="2:3" ht="16.5" thickBot="1">
      <c r="B18" s="17">
        <v>35096</v>
      </c>
      <c r="C18" s="18">
        <v>47.5</v>
      </c>
    </row>
    <row r="19" spans="2:3" ht="16.5" thickBot="1">
      <c r="B19" s="17">
        <v>35125</v>
      </c>
      <c r="C19" s="18">
        <v>46.9</v>
      </c>
    </row>
    <row r="20" spans="2:3" ht="16.5" thickBot="1">
      <c r="B20" s="17">
        <v>35156</v>
      </c>
      <c r="C20" s="18">
        <v>46.1</v>
      </c>
    </row>
    <row r="21" spans="2:3" ht="16.5" thickBot="1">
      <c r="B21" s="17">
        <v>35186</v>
      </c>
      <c r="C21" s="18">
        <v>46.9</v>
      </c>
    </row>
    <row r="22" spans="2:3" ht="16.5" thickBot="1">
      <c r="B22" s="17">
        <v>35217</v>
      </c>
      <c r="C22" s="18">
        <v>48.2</v>
      </c>
    </row>
    <row r="23" spans="2:3" ht="16.5" thickBot="1">
      <c r="B23" s="17">
        <v>35247</v>
      </c>
      <c r="C23" s="18">
        <v>53.1</v>
      </c>
    </row>
    <row r="24" spans="2:3" ht="16.5" thickBot="1">
      <c r="B24" s="17">
        <v>35278</v>
      </c>
      <c r="C24" s="18">
        <v>50.1</v>
      </c>
    </row>
    <row r="25" spans="2:3" ht="16.5" thickBot="1">
      <c r="B25" s="17">
        <v>35309</v>
      </c>
      <c r="C25" s="18">
        <v>51.7</v>
      </c>
    </row>
    <row r="26" spans="2:3" ht="16.5" thickBot="1">
      <c r="B26" s="17">
        <v>35339</v>
      </c>
      <c r="C26" s="18">
        <v>52.1</v>
      </c>
    </row>
    <row r="27" spans="2:3" ht="16.5" thickBot="1">
      <c r="B27" s="17">
        <v>35370</v>
      </c>
      <c r="C27" s="18">
        <v>54.3</v>
      </c>
    </row>
    <row r="28" spans="2:3" ht="16.5" thickBot="1">
      <c r="B28" s="17">
        <v>35400</v>
      </c>
      <c r="C28" s="18">
        <v>54.5</v>
      </c>
    </row>
    <row r="29" spans="2:3" ht="16.5" thickBot="1">
      <c r="B29" s="17">
        <v>35431</v>
      </c>
      <c r="C29" s="18">
        <v>57</v>
      </c>
    </row>
    <row r="30" spans="2:3" ht="16.5" thickBot="1">
      <c r="B30" s="17">
        <v>35462</v>
      </c>
      <c r="C30" s="18">
        <v>55.7</v>
      </c>
    </row>
    <row r="31" spans="2:3" ht="16.5" thickBot="1">
      <c r="B31" s="17">
        <v>35490</v>
      </c>
      <c r="C31" s="18">
        <v>55.6</v>
      </c>
    </row>
    <row r="32" spans="2:3" ht="16.5" thickBot="1">
      <c r="B32" s="17">
        <v>35521</v>
      </c>
      <c r="C32" s="18">
        <v>55.1</v>
      </c>
    </row>
    <row r="33" spans="2:3" ht="16.5" thickBot="1">
      <c r="B33" s="17">
        <v>35551</v>
      </c>
      <c r="C33" s="18">
        <v>59.5</v>
      </c>
    </row>
    <row r="34" spans="2:3" ht="16.5" thickBot="1">
      <c r="B34" s="17">
        <v>35582</v>
      </c>
      <c r="C34" s="18">
        <v>59.3</v>
      </c>
    </row>
    <row r="35" spans="2:3" ht="16.5" thickBot="1">
      <c r="B35" s="17">
        <v>35612</v>
      </c>
      <c r="C35" s="18">
        <v>56.4</v>
      </c>
    </row>
    <row r="36" spans="2:3" ht="16.5" thickBot="1">
      <c r="B36" s="17">
        <v>35643</v>
      </c>
      <c r="C36" s="18">
        <v>59.2</v>
      </c>
    </row>
    <row r="37" spans="2:3" ht="16.5" thickBot="1">
      <c r="B37" s="17">
        <v>35674</v>
      </c>
      <c r="C37" s="18">
        <v>60.3</v>
      </c>
    </row>
    <row r="38" spans="2:3" ht="16.5" thickBot="1">
      <c r="B38" s="17">
        <v>35704</v>
      </c>
      <c r="C38" s="18">
        <v>60.4</v>
      </c>
    </row>
    <row r="39" spans="2:3" ht="16.5" thickBot="1">
      <c r="B39" s="17">
        <v>35735</v>
      </c>
      <c r="C39" s="18">
        <v>59.9</v>
      </c>
    </row>
    <row r="40" spans="2:3" ht="16.5" thickBot="1">
      <c r="B40" s="17">
        <v>35765</v>
      </c>
      <c r="C40" s="18">
        <v>60</v>
      </c>
    </row>
    <row r="41" spans="2:3" ht="16.5" thickBot="1">
      <c r="B41" s="17">
        <v>35796</v>
      </c>
      <c r="C41" s="18">
        <v>58.6</v>
      </c>
    </row>
    <row r="42" spans="2:3" ht="16.5" thickBot="1">
      <c r="B42" s="17">
        <v>35827</v>
      </c>
      <c r="C42" s="18">
        <v>56.1</v>
      </c>
    </row>
    <row r="43" spans="2:3" ht="16.5" thickBot="1">
      <c r="B43" s="17">
        <v>35855</v>
      </c>
      <c r="C43" s="18">
        <v>56.9</v>
      </c>
    </row>
    <row r="44" spans="2:3" ht="16.5" thickBot="1">
      <c r="B44" s="17">
        <v>35886</v>
      </c>
      <c r="C44" s="18">
        <v>57.3</v>
      </c>
    </row>
    <row r="45" spans="2:3" ht="16.5" thickBot="1">
      <c r="B45" s="17">
        <v>35916</v>
      </c>
      <c r="C45" s="18">
        <v>54.1</v>
      </c>
    </row>
    <row r="46" spans="2:3" ht="16.5" thickBot="1">
      <c r="B46" s="17">
        <v>35947</v>
      </c>
      <c r="C46" s="18">
        <v>51.6</v>
      </c>
    </row>
    <row r="47" spans="2:3" ht="16.5" thickBot="1">
      <c r="B47" s="17">
        <v>35977</v>
      </c>
      <c r="C47" s="18">
        <v>47.9</v>
      </c>
    </row>
    <row r="48" spans="2:3" ht="16.5" thickBot="1">
      <c r="B48" s="17">
        <v>36008</v>
      </c>
      <c r="C48" s="18">
        <v>52.4</v>
      </c>
    </row>
    <row r="49" spans="2:3" ht="16.5" thickBot="1">
      <c r="B49" s="17">
        <v>36039</v>
      </c>
      <c r="C49" s="18">
        <v>47.8</v>
      </c>
    </row>
    <row r="50" spans="2:3" ht="16.5" thickBot="1">
      <c r="B50" s="17">
        <v>36069</v>
      </c>
      <c r="C50" s="18">
        <v>48.2</v>
      </c>
    </row>
    <row r="51" spans="2:3" ht="16.5" thickBot="1">
      <c r="B51" s="17">
        <v>36100</v>
      </c>
      <c r="C51" s="18">
        <v>46.9</v>
      </c>
    </row>
    <row r="52" spans="2:3" ht="16.5" thickBot="1">
      <c r="B52" s="17">
        <v>36130</v>
      </c>
      <c r="C52" s="18">
        <v>44.4</v>
      </c>
    </row>
    <row r="53" spans="2:3" ht="16.5" thickBot="1">
      <c r="B53" s="17">
        <v>36161</v>
      </c>
      <c r="C53" s="18">
        <v>48.6</v>
      </c>
    </row>
    <row r="54" spans="2:3" ht="16.5" thickBot="1">
      <c r="B54" s="17">
        <v>36192</v>
      </c>
      <c r="C54" s="18">
        <v>49.4</v>
      </c>
    </row>
    <row r="55" spans="2:3" ht="16.5" thickBot="1">
      <c r="B55" s="17">
        <v>36220</v>
      </c>
      <c r="C55" s="18">
        <v>50.6</v>
      </c>
    </row>
    <row r="56" spans="2:3" ht="16.5" thickBot="1">
      <c r="B56" s="17">
        <v>36251</v>
      </c>
      <c r="C56" s="18">
        <v>52.6</v>
      </c>
    </row>
    <row r="57" spans="2:3" ht="16.5" thickBot="1">
      <c r="B57" s="17">
        <v>36281</v>
      </c>
      <c r="C57" s="18">
        <v>51.6</v>
      </c>
    </row>
    <row r="58" spans="2:3" ht="16.5" thickBot="1">
      <c r="B58" s="17">
        <v>36312</v>
      </c>
      <c r="C58" s="18">
        <v>55.7</v>
      </c>
    </row>
    <row r="59" spans="2:3" ht="16.5" thickBot="1">
      <c r="B59" s="17">
        <v>36342</v>
      </c>
      <c r="C59" s="18">
        <v>54.6</v>
      </c>
    </row>
    <row r="60" spans="2:3" ht="16.5" thickBot="1">
      <c r="B60" s="17">
        <v>36373</v>
      </c>
      <c r="C60" s="18">
        <v>56.8</v>
      </c>
    </row>
    <row r="61" spans="2:3" ht="16.5" thickBot="1">
      <c r="B61" s="17">
        <v>36404</v>
      </c>
      <c r="C61" s="18">
        <v>57.8</v>
      </c>
    </row>
    <row r="62" spans="2:3" ht="16.5" thickBot="1">
      <c r="B62" s="17">
        <v>36434</v>
      </c>
      <c r="C62" s="18">
        <v>59.4</v>
      </c>
    </row>
    <row r="63" spans="2:3" ht="16.5" thickBot="1">
      <c r="B63" s="17">
        <v>36465</v>
      </c>
      <c r="C63" s="18">
        <v>60</v>
      </c>
    </row>
    <row r="64" spans="2:3" ht="16.5" thickBot="1">
      <c r="B64" s="17">
        <v>36495</v>
      </c>
      <c r="C64" s="18">
        <v>62.9</v>
      </c>
    </row>
    <row r="65" spans="2:3" ht="16.5" thickBot="1">
      <c r="B65" s="17">
        <v>36526</v>
      </c>
      <c r="C65" s="18">
        <v>61.7</v>
      </c>
    </row>
    <row r="66" spans="2:3" ht="16.5" thickBot="1">
      <c r="B66" s="17">
        <v>36557</v>
      </c>
      <c r="C66" s="18">
        <v>62.1</v>
      </c>
    </row>
    <row r="67" spans="2:3" ht="16.5" thickBot="1">
      <c r="B67" s="17">
        <v>36586</v>
      </c>
      <c r="C67" s="18">
        <v>64.400000000000006</v>
      </c>
    </row>
    <row r="68" spans="2:3" ht="16.5" thickBot="1">
      <c r="B68" s="17">
        <v>36617</v>
      </c>
      <c r="C68" s="18">
        <v>62.3</v>
      </c>
    </row>
    <row r="69" spans="2:3" ht="16.5" thickBot="1">
      <c r="B69" s="17">
        <v>36647</v>
      </c>
      <c r="C69" s="18">
        <v>62.3</v>
      </c>
    </row>
    <row r="70" spans="2:3" ht="16.5" thickBot="1">
      <c r="B70" s="17">
        <v>36678</v>
      </c>
      <c r="C70" s="18">
        <v>60.6</v>
      </c>
    </row>
    <row r="71" spans="2:3" ht="16.5" thickBot="1">
      <c r="B71" s="17">
        <v>36708</v>
      </c>
      <c r="C71" s="18">
        <v>60.1</v>
      </c>
    </row>
    <row r="72" spans="2:3" ht="16.5" thickBot="1">
      <c r="B72" s="17">
        <v>36739</v>
      </c>
      <c r="C72" s="18">
        <v>60.6</v>
      </c>
    </row>
    <row r="73" spans="2:3" ht="16.5" thickBot="1">
      <c r="B73" s="17">
        <v>36770</v>
      </c>
      <c r="C73" s="18">
        <v>59.7</v>
      </c>
    </row>
    <row r="74" spans="2:3" ht="16.5" thickBot="1">
      <c r="B74" s="17">
        <v>36800</v>
      </c>
      <c r="C74" s="18">
        <v>58.7</v>
      </c>
    </row>
    <row r="75" spans="2:3" ht="16.5" thickBot="1">
      <c r="B75" s="17">
        <v>36831</v>
      </c>
      <c r="C75" s="18">
        <v>55.6</v>
      </c>
    </row>
    <row r="76" spans="2:3" ht="16.5" thickBot="1">
      <c r="B76" s="17">
        <v>36861</v>
      </c>
      <c r="C76" s="18">
        <v>54.2</v>
      </c>
    </row>
    <row r="77" spans="2:3" ht="16.5" thickBot="1">
      <c r="B77" s="17">
        <v>36892</v>
      </c>
      <c r="C77" s="18">
        <v>52.2</v>
      </c>
    </row>
    <row r="78" spans="2:3" ht="16.5" thickBot="1">
      <c r="B78" s="17">
        <v>36923</v>
      </c>
      <c r="C78" s="18">
        <v>50.9</v>
      </c>
    </row>
    <row r="79" spans="2:3" ht="16.5" thickBot="1">
      <c r="B79" s="17">
        <v>36951</v>
      </c>
      <c r="C79" s="18">
        <v>46.4</v>
      </c>
    </row>
    <row r="80" spans="2:3" ht="16.5" thickBot="1">
      <c r="B80" s="17">
        <v>36982</v>
      </c>
      <c r="C80" s="18">
        <v>48.5</v>
      </c>
    </row>
    <row r="81" spans="2:3" ht="16.5" thickBot="1">
      <c r="B81" s="17">
        <v>37012</v>
      </c>
      <c r="C81" s="18">
        <v>51.6</v>
      </c>
    </row>
    <row r="82" spans="2:3" ht="16.5" thickBot="1">
      <c r="B82" s="17">
        <v>37043</v>
      </c>
      <c r="C82" s="18">
        <v>48.1</v>
      </c>
    </row>
    <row r="83" spans="2:3" ht="16.5" thickBot="1">
      <c r="B83" s="17">
        <v>37073</v>
      </c>
      <c r="C83" s="18">
        <v>53.9</v>
      </c>
    </row>
    <row r="84" spans="2:3" ht="16.5" thickBot="1">
      <c r="B84" s="17">
        <v>37104</v>
      </c>
      <c r="C84" s="18">
        <v>47.9</v>
      </c>
    </row>
    <row r="85" spans="2:3" ht="16.5" thickBot="1">
      <c r="B85" s="17">
        <v>37135</v>
      </c>
      <c r="C85" s="18">
        <v>47.1</v>
      </c>
    </row>
    <row r="86" spans="2:3" ht="16.5" thickBot="1">
      <c r="B86" s="17">
        <v>37165</v>
      </c>
      <c r="C86" s="18">
        <v>45.4</v>
      </c>
    </row>
    <row r="87" spans="2:3" ht="16.5" thickBot="1">
      <c r="B87" s="17">
        <v>37196</v>
      </c>
      <c r="C87" s="18">
        <v>48.2</v>
      </c>
    </row>
    <row r="88" spans="2:3" ht="16.5" thickBot="1">
      <c r="B88" s="17">
        <v>37226</v>
      </c>
      <c r="C88" s="18">
        <v>48.6</v>
      </c>
    </row>
    <row r="89" spans="2:3" ht="16.5" thickBot="1">
      <c r="B89" s="17">
        <v>37257</v>
      </c>
      <c r="C89" s="18">
        <v>51.2</v>
      </c>
    </row>
    <row r="90" spans="2:3" ht="16.5" thickBot="1">
      <c r="B90" s="17">
        <v>37288</v>
      </c>
      <c r="C90" s="18">
        <v>53.7</v>
      </c>
    </row>
    <row r="91" spans="2:3" ht="16.5" thickBot="1">
      <c r="B91" s="17">
        <v>37316</v>
      </c>
      <c r="C91" s="18">
        <v>54.3</v>
      </c>
    </row>
    <row r="92" spans="2:3" ht="16.5" thickBot="1">
      <c r="B92" s="17">
        <v>37347</v>
      </c>
      <c r="C92" s="18">
        <v>54.3</v>
      </c>
    </row>
    <row r="93" spans="2:3" ht="16.5" thickBot="1">
      <c r="B93" s="17">
        <v>37377</v>
      </c>
      <c r="C93" s="18">
        <v>57.3</v>
      </c>
    </row>
    <row r="94" spans="2:3" ht="16.5" thickBot="1">
      <c r="B94" s="17">
        <v>37408</v>
      </c>
      <c r="C94" s="18">
        <v>56</v>
      </c>
    </row>
    <row r="95" spans="2:3" ht="16.5" thickBot="1">
      <c r="B95" s="17">
        <v>37438</v>
      </c>
      <c r="C95" s="18">
        <v>54.3</v>
      </c>
    </row>
    <row r="96" spans="2:3" ht="16.5" thickBot="1">
      <c r="B96" s="17">
        <v>37469</v>
      </c>
      <c r="C96" s="18">
        <v>54.2</v>
      </c>
    </row>
    <row r="97" spans="2:3" ht="16.5" thickBot="1">
      <c r="B97" s="17">
        <v>37500</v>
      </c>
      <c r="C97" s="18">
        <v>54</v>
      </c>
    </row>
    <row r="98" spans="2:3" ht="16.5" thickBot="1">
      <c r="B98" s="17">
        <v>37530</v>
      </c>
      <c r="C98" s="18">
        <v>53.1</v>
      </c>
    </row>
    <row r="99" spans="2:3" ht="16.5" thickBot="1">
      <c r="B99" s="17">
        <v>37561</v>
      </c>
      <c r="C99" s="18">
        <v>54.4</v>
      </c>
    </row>
    <row r="100" spans="2:3" ht="16.5" thickBot="1">
      <c r="B100" s="17">
        <v>37591</v>
      </c>
      <c r="C100" s="18">
        <v>54.7</v>
      </c>
    </row>
    <row r="101" spans="2:3" ht="16.5" thickBot="1">
      <c r="B101" s="17">
        <v>37622</v>
      </c>
      <c r="C101" s="18">
        <v>57.2</v>
      </c>
    </row>
    <row r="102" spans="2:3" ht="16.5" thickBot="1">
      <c r="B102" s="17">
        <v>37653</v>
      </c>
      <c r="C102" s="18">
        <v>55.9</v>
      </c>
    </row>
    <row r="103" spans="2:3" ht="16.5" thickBot="1">
      <c r="B103" s="17">
        <v>37681</v>
      </c>
      <c r="C103" s="18">
        <v>49.4</v>
      </c>
    </row>
    <row r="104" spans="2:3" ht="16.5" thickBot="1">
      <c r="B104" s="17">
        <v>37712</v>
      </c>
      <c r="C104" s="18">
        <v>51.7</v>
      </c>
    </row>
    <row r="105" spans="2:3" ht="16.5" thickBot="1">
      <c r="B105" s="17">
        <v>37742</v>
      </c>
      <c r="C105" s="18">
        <v>48.1</v>
      </c>
    </row>
    <row r="106" spans="2:3" ht="16.5" thickBot="1">
      <c r="B106" s="17">
        <v>37773</v>
      </c>
      <c r="C106" s="18">
        <v>49.5</v>
      </c>
    </row>
    <row r="107" spans="2:3" ht="16.5" thickBot="1">
      <c r="B107" s="17">
        <v>37803</v>
      </c>
      <c r="C107" s="18">
        <v>51.7</v>
      </c>
    </row>
    <row r="108" spans="2:3" ht="16.5" thickBot="1">
      <c r="B108" s="17">
        <v>37834</v>
      </c>
      <c r="C108" s="18">
        <v>52.4</v>
      </c>
    </row>
    <row r="109" spans="2:3" ht="16.5" thickBot="1">
      <c r="B109" s="17">
        <v>37865</v>
      </c>
      <c r="C109" s="18">
        <v>50.5</v>
      </c>
    </row>
    <row r="110" spans="2:3" ht="16.5" thickBot="1">
      <c r="B110" s="17">
        <v>37895</v>
      </c>
      <c r="C110" s="18">
        <v>53.2</v>
      </c>
    </row>
    <row r="111" spans="2:3" ht="16.5" thickBot="1">
      <c r="B111" s="17">
        <v>37926</v>
      </c>
      <c r="C111" s="18">
        <v>57.1</v>
      </c>
    </row>
    <row r="112" spans="2:3" ht="16.5" thickBot="1">
      <c r="B112" s="17">
        <v>37956</v>
      </c>
      <c r="C112" s="18">
        <v>57</v>
      </c>
    </row>
    <row r="113" spans="2:3" ht="16.5" thickBot="1">
      <c r="B113" s="17">
        <v>37987</v>
      </c>
      <c r="C113" s="18">
        <v>57.7</v>
      </c>
    </row>
    <row r="114" spans="2:3" ht="16.5" thickBot="1">
      <c r="B114" s="17">
        <v>38018</v>
      </c>
      <c r="C114" s="18">
        <v>56.5</v>
      </c>
    </row>
    <row r="115" spans="2:3" ht="16.5" thickBot="1">
      <c r="B115" s="17">
        <v>38047</v>
      </c>
      <c r="C115" s="18">
        <v>61.1</v>
      </c>
    </row>
    <row r="116" spans="2:3" ht="16.5" thickBot="1">
      <c r="B116" s="17">
        <v>38078</v>
      </c>
      <c r="C116" s="18">
        <v>60.8</v>
      </c>
    </row>
    <row r="117" spans="2:3" ht="16.5" thickBot="1">
      <c r="B117" s="17">
        <v>38108</v>
      </c>
      <c r="C117" s="18">
        <v>59.5</v>
      </c>
    </row>
    <row r="118" spans="2:3" ht="16.5" thickBot="1">
      <c r="B118" s="17">
        <v>38139</v>
      </c>
      <c r="C118" s="18">
        <v>59.3</v>
      </c>
    </row>
    <row r="119" spans="2:3" ht="16.5" thickBot="1">
      <c r="B119" s="17">
        <v>38169</v>
      </c>
      <c r="C119" s="18">
        <v>57.3</v>
      </c>
    </row>
    <row r="120" spans="2:3" ht="16.5" thickBot="1">
      <c r="B120" s="17">
        <v>38200</v>
      </c>
      <c r="C120" s="18">
        <v>57.6</v>
      </c>
    </row>
    <row r="121" spans="2:3" ht="16.5" thickBot="1">
      <c r="B121" s="17">
        <v>38231</v>
      </c>
      <c r="C121" s="18">
        <v>57.6</v>
      </c>
    </row>
    <row r="122" spans="2:3" ht="16.5" thickBot="1">
      <c r="B122" s="17">
        <v>38261</v>
      </c>
      <c r="C122" s="18">
        <v>57.5</v>
      </c>
    </row>
    <row r="123" spans="2:3" ht="16.5" thickBot="1">
      <c r="B123" s="17">
        <v>38292</v>
      </c>
      <c r="C123" s="18">
        <v>55.3</v>
      </c>
    </row>
    <row r="124" spans="2:3" ht="16.5" thickBot="1">
      <c r="B124" s="17">
        <v>38322</v>
      </c>
      <c r="C124" s="18">
        <v>56.3</v>
      </c>
    </row>
    <row r="125" spans="2:3" ht="16.5" thickBot="1">
      <c r="B125" s="17">
        <v>38353</v>
      </c>
      <c r="C125" s="18">
        <v>55.4</v>
      </c>
    </row>
    <row r="126" spans="2:3" ht="16.5" thickBot="1">
      <c r="B126" s="17">
        <v>38384</v>
      </c>
      <c r="C126" s="18">
        <v>55</v>
      </c>
    </row>
    <row r="127" spans="2:3" ht="16.5" thickBot="1">
      <c r="B127" s="17">
        <v>38412</v>
      </c>
      <c r="C127" s="18">
        <v>54.2</v>
      </c>
    </row>
    <row r="128" spans="2:3" ht="16.5" thickBot="1">
      <c r="B128" s="17">
        <v>38443</v>
      </c>
      <c r="C128" s="18">
        <v>52.8</v>
      </c>
    </row>
    <row r="129" spans="2:3" ht="16.5" thickBot="1">
      <c r="B129" s="17">
        <v>38473</v>
      </c>
      <c r="C129" s="18">
        <v>53</v>
      </c>
    </row>
    <row r="130" spans="2:3" ht="16.5" thickBot="1">
      <c r="B130" s="17">
        <v>38504</v>
      </c>
      <c r="C130" s="18">
        <v>51.8</v>
      </c>
    </row>
    <row r="131" spans="2:3" ht="16.5" thickBot="1">
      <c r="B131" s="17">
        <v>38534</v>
      </c>
      <c r="C131" s="18">
        <v>53.9</v>
      </c>
    </row>
    <row r="132" spans="2:3" ht="16.5" thickBot="1">
      <c r="B132" s="17">
        <v>38565</v>
      </c>
      <c r="C132" s="18">
        <v>55.2</v>
      </c>
    </row>
    <row r="133" spans="2:3" ht="16.5" thickBot="1">
      <c r="B133" s="17">
        <v>38596</v>
      </c>
      <c r="C133" s="18">
        <v>56.3</v>
      </c>
    </row>
    <row r="134" spans="2:3" ht="16.5" thickBot="1">
      <c r="B134" s="17">
        <v>38626</v>
      </c>
      <c r="C134" s="18">
        <v>57.1</v>
      </c>
    </row>
    <row r="135" spans="2:3" ht="16.5" thickBot="1">
      <c r="B135" s="17">
        <v>38657</v>
      </c>
      <c r="C135" s="18">
        <v>57.4</v>
      </c>
    </row>
    <row r="136" spans="2:3" ht="16.5" thickBot="1">
      <c r="B136" s="17">
        <v>38687</v>
      </c>
      <c r="C136" s="18">
        <v>57.5</v>
      </c>
    </row>
    <row r="137" spans="2:3" ht="16.5" thickBot="1">
      <c r="B137" s="17">
        <v>38718</v>
      </c>
      <c r="C137" s="18">
        <v>57.7</v>
      </c>
    </row>
    <row r="138" spans="2:3" ht="16.5" thickBot="1">
      <c r="B138" s="17">
        <v>38749</v>
      </c>
      <c r="C138" s="18">
        <v>58.4</v>
      </c>
    </row>
    <row r="139" spans="2:3" ht="16.5" thickBot="1">
      <c r="B139" s="17">
        <v>38777</v>
      </c>
      <c r="C139" s="18">
        <v>61.7</v>
      </c>
    </row>
    <row r="140" spans="2:3" ht="16.5" thickBot="1">
      <c r="B140" s="17">
        <v>38808</v>
      </c>
      <c r="C140" s="18">
        <v>61</v>
      </c>
    </row>
    <row r="141" spans="2:3" ht="16.5" thickBot="1">
      <c r="B141" s="17">
        <v>38838</v>
      </c>
      <c r="C141" s="18">
        <v>61.9</v>
      </c>
    </row>
    <row r="142" spans="2:3" ht="16.5" thickBot="1">
      <c r="B142" s="17">
        <v>38869</v>
      </c>
      <c r="C142" s="18">
        <v>62.8</v>
      </c>
    </row>
    <row r="143" spans="2:3" ht="16.5" thickBot="1">
      <c r="B143" s="17">
        <v>38899</v>
      </c>
      <c r="C143" s="18">
        <v>62.5</v>
      </c>
    </row>
    <row r="144" spans="2:3" ht="16.5" thickBot="1">
      <c r="B144" s="17">
        <v>38930</v>
      </c>
      <c r="C144" s="18">
        <v>61.2</v>
      </c>
    </row>
    <row r="145" spans="2:3" ht="16.5" thickBot="1">
      <c r="B145" s="17">
        <v>38961</v>
      </c>
      <c r="C145" s="18">
        <v>61.6</v>
      </c>
    </row>
    <row r="146" spans="2:3" ht="16.5" thickBot="1">
      <c r="B146" s="17">
        <v>38991</v>
      </c>
      <c r="C146" s="18">
        <v>59.6</v>
      </c>
    </row>
    <row r="147" spans="2:3" ht="16.5" thickBot="1">
      <c r="B147" s="17">
        <v>39022</v>
      </c>
      <c r="C147" s="18">
        <v>63.2</v>
      </c>
    </row>
    <row r="148" spans="2:3" ht="16.5" thickBot="1">
      <c r="B148" s="17">
        <v>39052</v>
      </c>
      <c r="C148" s="18">
        <v>63.8</v>
      </c>
    </row>
    <row r="149" spans="2:3" ht="16.5" thickBot="1">
      <c r="B149" s="17">
        <v>39083</v>
      </c>
      <c r="C149" s="18">
        <v>61.8</v>
      </c>
    </row>
    <row r="150" spans="2:3" ht="16.5" thickBot="1">
      <c r="B150" s="17">
        <v>39114</v>
      </c>
      <c r="C150" s="18">
        <v>63.1</v>
      </c>
    </row>
    <row r="151" spans="2:3" ht="16.5" thickBot="1">
      <c r="B151" s="17">
        <v>39142</v>
      </c>
      <c r="C151" s="18">
        <v>59.9</v>
      </c>
    </row>
    <row r="152" spans="2:3" ht="16.5" thickBot="1">
      <c r="B152" s="17">
        <v>39173</v>
      </c>
      <c r="C152" s="18">
        <v>59.5</v>
      </c>
    </row>
    <row r="153" spans="2:3" ht="16.5" thickBot="1">
      <c r="B153" s="17">
        <v>39203</v>
      </c>
      <c r="C153" s="18">
        <v>58.8</v>
      </c>
    </row>
    <row r="154" spans="2:3" ht="16.5" thickBot="1">
      <c r="B154" s="17">
        <v>39234</v>
      </c>
      <c r="C154" s="18">
        <v>58.9</v>
      </c>
    </row>
    <row r="155" spans="2:3" ht="16.5" thickBot="1">
      <c r="B155" s="17">
        <v>39264</v>
      </c>
      <c r="C155" s="18">
        <v>58.1</v>
      </c>
    </row>
    <row r="156" spans="2:3" ht="16.5" thickBot="1">
      <c r="B156" s="17">
        <v>39295</v>
      </c>
      <c r="C156" s="18">
        <v>57.4</v>
      </c>
    </row>
    <row r="157" spans="2:3" ht="16.5" thickBot="1">
      <c r="B157" s="17">
        <v>39326</v>
      </c>
      <c r="C157" s="18">
        <v>57.6</v>
      </c>
    </row>
    <row r="158" spans="2:3" ht="16.5" thickBot="1">
      <c r="B158" s="17">
        <v>39356</v>
      </c>
      <c r="C158" s="18">
        <v>58.5</v>
      </c>
    </row>
    <row r="159" spans="2:3" ht="16.5" thickBot="1">
      <c r="B159" s="17">
        <v>39387</v>
      </c>
      <c r="C159" s="18">
        <v>57.2</v>
      </c>
    </row>
    <row r="160" spans="2:3" ht="16.5" thickBot="1">
      <c r="B160" s="17">
        <v>39417</v>
      </c>
      <c r="C160" s="18">
        <v>56.7</v>
      </c>
    </row>
    <row r="161" spans="2:3" ht="16.5" thickBot="1">
      <c r="B161" s="17">
        <v>39448</v>
      </c>
      <c r="C161" s="18">
        <v>55.2</v>
      </c>
    </row>
    <row r="162" spans="2:3" ht="16.5" thickBot="1">
      <c r="B162" s="17">
        <v>39479</v>
      </c>
      <c r="C162" s="18">
        <v>55.8</v>
      </c>
    </row>
    <row r="163" spans="2:3" ht="16.5" thickBot="1">
      <c r="B163" s="17">
        <v>39508</v>
      </c>
      <c r="C163" s="18">
        <v>54.6</v>
      </c>
    </row>
    <row r="164" spans="2:3" ht="16.5" thickBot="1">
      <c r="B164" s="17">
        <v>39539</v>
      </c>
      <c r="C164" s="18">
        <v>50.7</v>
      </c>
    </row>
    <row r="165" spans="2:3" ht="16.5" thickBot="1">
      <c r="B165" s="17">
        <v>39569</v>
      </c>
      <c r="C165" s="18">
        <v>50.5</v>
      </c>
    </row>
    <row r="166" spans="2:3" ht="16.5" thickBot="1">
      <c r="B166" s="17">
        <v>39600</v>
      </c>
      <c r="C166" s="18">
        <v>48.8</v>
      </c>
    </row>
    <row r="167" spans="2:3" ht="16.5" thickBot="1">
      <c r="B167" s="17">
        <v>39630</v>
      </c>
      <c r="C167" s="18">
        <v>45.5</v>
      </c>
    </row>
    <row r="168" spans="2:3" ht="16.5" thickBot="1">
      <c r="B168" s="17">
        <v>39661</v>
      </c>
      <c r="C168" s="18">
        <v>46.9</v>
      </c>
    </row>
    <row r="169" spans="2:3" ht="16.5" thickBot="1">
      <c r="B169" s="17">
        <v>39692</v>
      </c>
      <c r="C169" s="18">
        <v>41.4</v>
      </c>
    </row>
    <row r="170" spans="2:3" ht="16.5" thickBot="1">
      <c r="B170" s="17">
        <v>39722</v>
      </c>
      <c r="C170" s="18">
        <v>38.1</v>
      </c>
    </row>
    <row r="171" spans="2:3" ht="16.5" thickBot="1">
      <c r="B171" s="17">
        <v>39753</v>
      </c>
      <c r="C171" s="18">
        <v>35</v>
      </c>
    </row>
    <row r="172" spans="2:3" ht="16.5" thickBot="1">
      <c r="B172" s="17">
        <v>39783</v>
      </c>
      <c r="C172" s="18">
        <v>34</v>
      </c>
    </row>
    <row r="173" spans="2:3" ht="16.5" thickBot="1">
      <c r="B173" s="17">
        <v>39814</v>
      </c>
      <c r="C173" s="18">
        <v>34.200000000000003</v>
      </c>
    </row>
    <row r="174" spans="2:3" ht="16.5" thickBot="1">
      <c r="B174" s="17">
        <v>39845</v>
      </c>
      <c r="C174" s="18">
        <v>34.1</v>
      </c>
    </row>
    <row r="175" spans="2:3" ht="16.5" thickBot="1">
      <c r="B175" s="17">
        <v>39873</v>
      </c>
      <c r="C175" s="18">
        <v>37.1</v>
      </c>
    </row>
    <row r="176" spans="2:3" ht="16.5" thickBot="1">
      <c r="B176" s="17">
        <v>39904</v>
      </c>
      <c r="C176" s="18">
        <v>39.299999999999997</v>
      </c>
    </row>
    <row r="177" spans="2:3" ht="16.5" thickBot="1">
      <c r="B177" s="17">
        <v>39934</v>
      </c>
      <c r="C177" s="18">
        <v>43.4</v>
      </c>
    </row>
    <row r="178" spans="2:3" ht="16.5" thickBot="1">
      <c r="B178" s="17">
        <v>39965</v>
      </c>
      <c r="C178" s="18">
        <v>49.6</v>
      </c>
    </row>
    <row r="179" spans="2:3" ht="16.5" thickBot="1">
      <c r="B179" s="17">
        <v>39995</v>
      </c>
      <c r="C179" s="18">
        <v>52</v>
      </c>
    </row>
    <row r="180" spans="2:3" ht="16.5" thickBot="1">
      <c r="B180" s="17">
        <v>40026</v>
      </c>
      <c r="C180" s="18">
        <v>54.1</v>
      </c>
    </row>
    <row r="181" spans="2:3" ht="16.5" thickBot="1">
      <c r="B181" s="17">
        <v>40057</v>
      </c>
      <c r="C181" s="18">
        <v>56.1</v>
      </c>
    </row>
    <row r="182" spans="2:3" ht="16.5" thickBot="1">
      <c r="B182" s="17">
        <v>40087</v>
      </c>
      <c r="C182" s="18">
        <v>57.1</v>
      </c>
    </row>
    <row r="183" spans="2:3" ht="16.5" thickBot="1">
      <c r="B183" s="17">
        <v>40118</v>
      </c>
      <c r="C183" s="18">
        <v>58.5</v>
      </c>
    </row>
    <row r="184" spans="2:3" ht="16.5" thickBot="1">
      <c r="B184" s="17">
        <v>40148</v>
      </c>
      <c r="C184" s="18">
        <v>59.9</v>
      </c>
    </row>
    <row r="185" spans="2:3" ht="16.5" thickBot="1">
      <c r="B185" s="17">
        <v>40179</v>
      </c>
      <c r="C185" s="18">
        <v>61.9</v>
      </c>
    </row>
    <row r="186" spans="2:3" ht="16.5" thickBot="1">
      <c r="B186" s="17">
        <v>40210</v>
      </c>
      <c r="C186" s="18">
        <v>61.1</v>
      </c>
    </row>
    <row r="187" spans="2:3" ht="16.5" thickBot="1">
      <c r="B187" s="17">
        <v>40238</v>
      </c>
      <c r="C187" s="18">
        <v>60.9</v>
      </c>
    </row>
    <row r="188" spans="2:3" ht="16.5" thickBot="1">
      <c r="B188" s="17">
        <v>40269</v>
      </c>
      <c r="C188" s="18">
        <v>63.2</v>
      </c>
    </row>
    <row r="189" spans="2:3" ht="16.5" thickBot="1">
      <c r="B189" s="17">
        <v>40299</v>
      </c>
      <c r="C189" s="18">
        <v>64.900000000000006</v>
      </c>
    </row>
    <row r="190" spans="2:3" ht="16.5" thickBot="1">
      <c r="B190" s="17">
        <v>40330</v>
      </c>
      <c r="C190" s="18">
        <v>60.8</v>
      </c>
    </row>
    <row r="191" spans="2:3" ht="16.5" thickBot="1">
      <c r="B191" s="17">
        <v>40360</v>
      </c>
      <c r="C191" s="18">
        <v>61.7</v>
      </c>
    </row>
    <row r="192" spans="2:3" ht="16.5" thickBot="1">
      <c r="B192" s="17">
        <v>40391</v>
      </c>
      <c r="C192" s="18">
        <v>62</v>
      </c>
    </row>
    <row r="193" spans="2:3" ht="16.5" thickBot="1">
      <c r="B193" s="17">
        <v>40422</v>
      </c>
      <c r="C193" s="18">
        <v>63.6</v>
      </c>
    </row>
    <row r="194" spans="2:3" ht="16.5" thickBot="1">
      <c r="B194" s="17">
        <v>40452</v>
      </c>
      <c r="C194" s="18">
        <v>62.6</v>
      </c>
    </row>
    <row r="195" spans="2:3" ht="16.5" thickBot="1">
      <c r="B195" s="17">
        <v>40483</v>
      </c>
      <c r="C195" s="18">
        <v>63.6</v>
      </c>
    </row>
    <row r="196" spans="2:3" ht="16.5" thickBot="1">
      <c r="B196" s="17">
        <v>40513</v>
      </c>
      <c r="C196" s="18">
        <v>61.9</v>
      </c>
    </row>
    <row r="197" spans="2:3" ht="16.5" thickBot="1">
      <c r="B197" s="17">
        <v>40544</v>
      </c>
      <c r="C197" s="18">
        <v>60.8</v>
      </c>
    </row>
    <row r="198" spans="2:3" ht="16.5" thickBot="1">
      <c r="B198" s="17">
        <v>40575</v>
      </c>
      <c r="C198" s="18">
        <v>60.3</v>
      </c>
    </row>
    <row r="199" spans="2:3" ht="16.5" thickBot="1">
      <c r="B199" s="17">
        <v>40603</v>
      </c>
      <c r="C199" s="18">
        <v>57.9</v>
      </c>
    </row>
    <row r="200" spans="2:3" ht="16.5" thickBot="1">
      <c r="B200" s="17">
        <v>40634</v>
      </c>
      <c r="C200" s="18">
        <v>58.8</v>
      </c>
    </row>
    <row r="201" spans="2:3" ht="16.5" thickBot="1">
      <c r="B201" s="17">
        <v>40664</v>
      </c>
      <c r="C201" s="18">
        <v>54.8</v>
      </c>
    </row>
    <row r="202" spans="2:3" ht="16.5" thickBot="1">
      <c r="B202" s="17">
        <v>40695</v>
      </c>
      <c r="C202" s="18">
        <v>51.6</v>
      </c>
    </row>
    <row r="203" spans="2:3" ht="16.5" thickBot="1">
      <c r="B203" s="17">
        <v>40725</v>
      </c>
      <c r="C203" s="18">
        <v>47.3</v>
      </c>
    </row>
    <row r="204" spans="2:3" ht="16.5" thickBot="1">
      <c r="B204" s="17">
        <v>40756</v>
      </c>
      <c r="C204" s="18">
        <v>50.3</v>
      </c>
    </row>
    <row r="205" spans="2:3" ht="16.5" thickBot="1">
      <c r="B205" s="17">
        <v>40787</v>
      </c>
      <c r="C205" s="18">
        <v>48.7</v>
      </c>
    </row>
    <row r="206" spans="2:3" ht="16.5" thickBot="1">
      <c r="B206" s="17">
        <v>40817</v>
      </c>
      <c r="C206" s="18">
        <v>51.3</v>
      </c>
    </row>
    <row r="207" spans="2:3" ht="16.5" thickBot="1">
      <c r="B207" s="17">
        <v>40848</v>
      </c>
      <c r="C207" s="18">
        <v>49.6</v>
      </c>
    </row>
    <row r="208" spans="2:3" ht="16.5" thickBot="1">
      <c r="B208" s="17">
        <v>40878</v>
      </c>
      <c r="C208" s="18">
        <v>50.5</v>
      </c>
    </row>
    <row r="209" spans="2:3" ht="16.5" thickBot="1">
      <c r="B209" s="17">
        <v>40909</v>
      </c>
      <c r="C209" s="18">
        <v>50.3</v>
      </c>
    </row>
    <row r="210" spans="2:3" ht="16.5" thickBot="1">
      <c r="B210" s="17">
        <v>40940</v>
      </c>
      <c r="C210" s="18">
        <v>49.5</v>
      </c>
    </row>
    <row r="211" spans="2:3" ht="16.5" thickBot="1">
      <c r="B211" s="17">
        <v>40969</v>
      </c>
      <c r="C211" s="18">
        <v>49.4</v>
      </c>
    </row>
    <row r="212" spans="2:3" ht="16.5" thickBot="1">
      <c r="B212" s="17">
        <v>41000</v>
      </c>
      <c r="C212" s="18">
        <v>49.3</v>
      </c>
    </row>
    <row r="213" spans="2:3" ht="16.5" thickBot="1">
      <c r="B213" s="17">
        <v>41030</v>
      </c>
      <c r="C213" s="18">
        <v>48.1</v>
      </c>
    </row>
    <row r="214" spans="2:3" ht="16.5" thickBot="1">
      <c r="B214" s="17">
        <v>41061</v>
      </c>
      <c r="C214" s="18">
        <v>47.5</v>
      </c>
    </row>
    <row r="215" spans="2:3" ht="16.5" thickBot="1">
      <c r="B215" s="17">
        <v>41091</v>
      </c>
      <c r="C215" s="18">
        <v>48.6</v>
      </c>
    </row>
    <row r="216" spans="2:3" ht="16.5" thickBot="1">
      <c r="B216" s="17">
        <v>41122</v>
      </c>
      <c r="C216" s="18">
        <v>47</v>
      </c>
    </row>
    <row r="217" spans="2:3" ht="16.5" thickBot="1">
      <c r="B217" s="17">
        <v>41153</v>
      </c>
      <c r="C217" s="18">
        <v>45.4</v>
      </c>
    </row>
    <row r="218" spans="2:3" ht="16.5" thickBot="1">
      <c r="B218" s="17">
        <v>41183</v>
      </c>
      <c r="C218" s="18">
        <v>44.8</v>
      </c>
    </row>
    <row r="219" spans="2:3" ht="16.5" thickBot="1">
      <c r="B219" s="17">
        <v>41214</v>
      </c>
      <c r="C219" s="18">
        <v>44.6</v>
      </c>
    </row>
    <row r="220" spans="2:3" ht="16.5" thickBot="1">
      <c r="B220" s="17">
        <v>41244</v>
      </c>
      <c r="C220" s="18">
        <v>45.6</v>
      </c>
    </row>
    <row r="221" spans="2:3" ht="16.5" thickBot="1">
      <c r="B221" s="17">
        <v>41275</v>
      </c>
      <c r="C221" s="18">
        <v>47.8</v>
      </c>
    </row>
    <row r="222" spans="2:3" ht="16.5" thickBot="1">
      <c r="B222" s="17">
        <v>41306</v>
      </c>
      <c r="C222" s="18">
        <v>50.4</v>
      </c>
    </row>
    <row r="223" spans="2:3" ht="16.5" thickBot="1">
      <c r="B223" s="17">
        <v>41334</v>
      </c>
      <c r="C223" s="18">
        <v>51.2</v>
      </c>
    </row>
    <row r="224" spans="2:3" ht="16.5" thickBot="1">
      <c r="B224" s="17">
        <v>41365</v>
      </c>
      <c r="C224" s="18">
        <v>48.5</v>
      </c>
    </row>
    <row r="225" spans="2:3" ht="16.5" thickBot="1">
      <c r="B225" s="17">
        <v>41395</v>
      </c>
      <c r="C225" s="18">
        <v>51.4</v>
      </c>
    </row>
    <row r="226" spans="2:3" ht="16.5" thickBot="1">
      <c r="B226" s="17">
        <v>41426</v>
      </c>
      <c r="C226" s="18">
        <v>53.4</v>
      </c>
    </row>
    <row r="227" spans="2:3" ht="16.5" thickBot="1">
      <c r="B227" s="17">
        <v>41456</v>
      </c>
      <c r="C227" s="18">
        <v>49.7</v>
      </c>
    </row>
    <row r="228" spans="2:3" ht="16.5" thickBot="1">
      <c r="B228" s="17">
        <v>41487</v>
      </c>
      <c r="C228" s="18">
        <v>54.7</v>
      </c>
    </row>
    <row r="229" spans="2:3" ht="16.5" thickBot="1">
      <c r="B229" s="17">
        <v>41518</v>
      </c>
      <c r="C229" s="18">
        <v>57</v>
      </c>
    </row>
    <row r="230" spans="2:3" ht="16.5" thickBot="1">
      <c r="B230" s="17">
        <v>41548</v>
      </c>
      <c r="C230" s="18">
        <v>53.7</v>
      </c>
    </row>
    <row r="231" spans="2:3" ht="16.5" thickBot="1">
      <c r="B231" s="17">
        <v>41579</v>
      </c>
      <c r="C231" s="18">
        <v>57</v>
      </c>
    </row>
    <row r="232" spans="2:3" ht="16.5" thickBot="1">
      <c r="B232" s="17">
        <v>41609</v>
      </c>
      <c r="C232" s="18">
        <v>52.5</v>
      </c>
    </row>
    <row r="233" spans="2:3" ht="16.5" thickBot="1">
      <c r="B233" s="17">
        <v>41640</v>
      </c>
      <c r="C233" s="18">
        <v>54.7</v>
      </c>
    </row>
    <row r="234" spans="2:3" ht="16.5" thickBot="1">
      <c r="B234" s="17">
        <v>41671</v>
      </c>
      <c r="C234" s="18">
        <v>54.1</v>
      </c>
    </row>
    <row r="235" spans="2:3" ht="16.5" thickBot="1">
      <c r="B235" s="17">
        <v>41699</v>
      </c>
      <c r="C235" s="18">
        <v>55.4</v>
      </c>
    </row>
    <row r="236" spans="2:3" ht="16.5" thickBot="1">
      <c r="B236" s="17">
        <v>41730</v>
      </c>
      <c r="C236" s="18">
        <v>54.4</v>
      </c>
    </row>
    <row r="237" spans="2:3" ht="16.5" thickBot="1">
      <c r="B237" s="17">
        <v>41760</v>
      </c>
      <c r="C237" s="18">
        <v>53.7</v>
      </c>
    </row>
    <row r="238" spans="2:3" ht="16.5" thickBot="1">
      <c r="B238" s="17">
        <v>41791</v>
      </c>
      <c r="C238" s="18">
        <v>55</v>
      </c>
    </row>
    <row r="239" spans="2:3" ht="16.5" thickBot="1">
      <c r="B239" s="17">
        <v>41821</v>
      </c>
      <c r="C239" s="18">
        <v>54</v>
      </c>
    </row>
    <row r="240" spans="2:3" ht="16.5" thickBot="1">
      <c r="B240" s="17">
        <v>41852</v>
      </c>
      <c r="C240" s="18">
        <v>53.6</v>
      </c>
    </row>
    <row r="241" spans="2:3" ht="16.5" thickBot="1">
      <c r="B241" s="17">
        <v>41883</v>
      </c>
      <c r="C241" s="18">
        <v>54.2</v>
      </c>
    </row>
    <row r="242" spans="2:3" ht="16.5" thickBot="1">
      <c r="B242" s="17">
        <v>41913</v>
      </c>
      <c r="C242" s="18">
        <v>53.6</v>
      </c>
    </row>
    <row r="243" spans="2:3" ht="16.5" thickBot="1">
      <c r="B243" s="17">
        <v>41944</v>
      </c>
      <c r="C243" s="18">
        <v>53.1</v>
      </c>
    </row>
    <row r="244" spans="2:3" ht="16.5" thickBot="1">
      <c r="B244" s="17">
        <v>41974</v>
      </c>
      <c r="C244" s="18">
        <v>55.1</v>
      </c>
    </row>
    <row r="245" spans="2:3" ht="16.5" thickBot="1">
      <c r="B245" s="17">
        <v>42005</v>
      </c>
      <c r="C245" s="18">
        <v>53.5</v>
      </c>
    </row>
    <row r="246" spans="2:3" ht="16.5" thickBot="1">
      <c r="B246" s="17">
        <v>42036</v>
      </c>
      <c r="C246" s="18">
        <v>52.8</v>
      </c>
    </row>
    <row r="247" spans="2:3" ht="16.5" thickBot="1">
      <c r="B247" s="17">
        <v>42064</v>
      </c>
      <c r="C247" s="18">
        <v>53</v>
      </c>
    </row>
    <row r="248" spans="2:3" ht="16.5" thickBot="1">
      <c r="B248" s="17">
        <v>42095</v>
      </c>
      <c r="C248" s="18">
        <v>55</v>
      </c>
    </row>
    <row r="249" spans="2:3" ht="16.5" thickBot="1">
      <c r="B249" s="17">
        <v>42125</v>
      </c>
      <c r="C249" s="18">
        <v>54.6</v>
      </c>
    </row>
    <row r="250" spans="2:3" ht="16.5" thickBot="1">
      <c r="B250" s="17">
        <v>42156</v>
      </c>
      <c r="C250" s="18">
        <v>53.3</v>
      </c>
    </row>
    <row r="251" spans="2:3" ht="16.5" thickBot="1">
      <c r="B251" s="17">
        <v>42186</v>
      </c>
      <c r="C251" s="18">
        <v>54.4</v>
      </c>
    </row>
    <row r="252" spans="2:3" ht="16.5" thickBot="1">
      <c r="B252" s="17">
        <v>42217</v>
      </c>
      <c r="C252" s="18">
        <v>56.3</v>
      </c>
    </row>
    <row r="253" spans="2:3" ht="16.5" thickBot="1">
      <c r="B253" s="17">
        <v>42248</v>
      </c>
      <c r="C253" s="18">
        <v>53.9</v>
      </c>
    </row>
    <row r="254" spans="2:3" ht="16.5" thickBot="1">
      <c r="B254" s="17">
        <v>42278</v>
      </c>
      <c r="C254" s="18">
        <v>54.5</v>
      </c>
    </row>
    <row r="255" spans="2:3" ht="16.5" thickBot="1">
      <c r="B255" s="17">
        <v>42309</v>
      </c>
      <c r="C255" s="18">
        <v>54.6</v>
      </c>
    </row>
    <row r="256" spans="2:3" ht="16.5" thickBot="1">
      <c r="B256" s="17">
        <v>42339</v>
      </c>
      <c r="C256" s="18">
        <v>55.2</v>
      </c>
    </row>
    <row r="257" spans="2:3" ht="16.5" thickBot="1">
      <c r="B257" s="17">
        <v>42370</v>
      </c>
      <c r="C257" s="18">
        <v>54.1</v>
      </c>
    </row>
    <row r="258" spans="2:3" ht="16.5" thickBot="1">
      <c r="B258" s="17">
        <v>42401</v>
      </c>
      <c r="C258" s="18">
        <v>51.1</v>
      </c>
    </row>
    <row r="259" spans="2:3" ht="16.5" thickBot="1">
      <c r="B259" s="17">
        <v>42430</v>
      </c>
      <c r="C259" s="18">
        <v>52.1</v>
      </c>
    </row>
    <row r="260" spans="2:3" ht="16.5" thickBot="1">
      <c r="B260" s="17">
        <v>42461</v>
      </c>
      <c r="C260" s="18">
        <v>53.7</v>
      </c>
    </row>
    <row r="261" spans="2:3" ht="16.5" thickBot="1">
      <c r="B261" s="17">
        <v>42491</v>
      </c>
      <c r="C261" s="18">
        <v>54</v>
      </c>
    </row>
    <row r="262" spans="2:3" ht="16.5" thickBot="1">
      <c r="B262" s="17">
        <v>42522</v>
      </c>
      <c r="C262" s="18">
        <v>53.7</v>
      </c>
    </row>
    <row r="263" spans="2:3" ht="16.5" thickBot="1">
      <c r="B263" s="17">
        <v>42552</v>
      </c>
      <c r="C263" s="18">
        <v>54.7</v>
      </c>
    </row>
    <row r="264" spans="2:3" ht="16.5" thickBot="1">
      <c r="B264" s="17">
        <v>42583</v>
      </c>
      <c r="C264" s="18">
        <v>53.8</v>
      </c>
    </row>
    <row r="265" spans="2:3" ht="16.5" thickBot="1">
      <c r="B265" s="17">
        <v>42614</v>
      </c>
      <c r="C265" s="18">
        <v>55.5</v>
      </c>
    </row>
    <row r="266" spans="2:3" ht="16.5" thickBot="1">
      <c r="B266" s="17">
        <v>42644</v>
      </c>
      <c r="C266" s="18">
        <v>59.5</v>
      </c>
    </row>
    <row r="267" spans="2:3" ht="16.5" thickBot="1">
      <c r="B267" s="17">
        <v>42675</v>
      </c>
      <c r="C267" s="18">
        <v>56.7</v>
      </c>
    </row>
    <row r="268" spans="2:3" ht="16.5" thickBot="1">
      <c r="B268" s="17">
        <v>42705</v>
      </c>
      <c r="C268" s="18">
        <v>59.3</v>
      </c>
    </row>
    <row r="269" spans="2:3" ht="16.5" thickBot="1">
      <c r="B269" s="17">
        <v>42736</v>
      </c>
      <c r="C269" s="18">
        <v>61.1</v>
      </c>
    </row>
    <row r="270" spans="2:3" ht="16.5" thickBot="1">
      <c r="B270" s="17">
        <v>42767</v>
      </c>
      <c r="C270" s="18">
        <v>60</v>
      </c>
    </row>
    <row r="271" spans="2:3" ht="16.5" thickBot="1">
      <c r="B271" s="17">
        <v>42795</v>
      </c>
      <c r="C271" s="18">
        <v>64.400000000000006</v>
      </c>
    </row>
    <row r="272" spans="2:3" ht="16.5" thickBot="1">
      <c r="B272" s="17">
        <v>42826</v>
      </c>
      <c r="C272" s="18">
        <v>62.8</v>
      </c>
    </row>
    <row r="273" spans="2:3" ht="16.5" thickBot="1">
      <c r="B273" s="17">
        <v>42856</v>
      </c>
      <c r="C273" s="18">
        <v>58.7</v>
      </c>
    </row>
    <row r="274" spans="2:3" ht="16.5" thickBot="1">
      <c r="B274" s="17">
        <v>42887</v>
      </c>
      <c r="C274" s="18">
        <v>63.4</v>
      </c>
    </row>
    <row r="275" spans="2:3" ht="16.5" thickBot="1">
      <c r="B275" s="17">
        <v>42917</v>
      </c>
      <c r="C275" s="18">
        <v>59.4</v>
      </c>
    </row>
    <row r="276" spans="2:3" ht="16.5" thickBot="1">
      <c r="B276" s="17">
        <v>42948</v>
      </c>
      <c r="C276" s="18">
        <v>57.4</v>
      </c>
    </row>
    <row r="277" spans="2:3" ht="16.5" thickBot="1">
      <c r="B277" s="17">
        <v>42979</v>
      </c>
      <c r="C277" s="18">
        <v>64.3</v>
      </c>
    </row>
    <row r="278" spans="2:3" ht="16.5" thickBot="1">
      <c r="B278" s="17">
        <v>43009</v>
      </c>
      <c r="C278" s="18">
        <v>59.9</v>
      </c>
    </row>
    <row r="279" spans="2:3" ht="16.5" thickBot="1">
      <c r="B279" s="17">
        <v>43040</v>
      </c>
      <c r="C279" s="18">
        <v>62.6</v>
      </c>
    </row>
    <row r="280" spans="2:3" ht="16.5" thickBot="1">
      <c r="B280" s="17">
        <v>43070</v>
      </c>
      <c r="C280" s="18">
        <v>59.4</v>
      </c>
    </row>
    <row r="281" spans="2:3" ht="16.5" thickBot="1">
      <c r="B281" s="17">
        <v>43101</v>
      </c>
      <c r="C281" s="18">
        <v>56</v>
      </c>
    </row>
    <row r="282" spans="2:3" ht="16.5" thickBot="1">
      <c r="B282" s="17">
        <v>43132</v>
      </c>
      <c r="C282" s="18">
        <v>58.5</v>
      </c>
    </row>
    <row r="283" spans="2:3" ht="16.5" thickBot="1">
      <c r="B283" s="17">
        <v>43160</v>
      </c>
      <c r="C283" s="18">
        <v>55.1</v>
      </c>
    </row>
    <row r="284" spans="2:3" ht="16.5" thickBot="1">
      <c r="B284" s="17">
        <v>43191</v>
      </c>
      <c r="C284" s="18">
        <v>55</v>
      </c>
    </row>
    <row r="285" spans="2:3" ht="16.5" thickBot="1">
      <c r="B285" s="17">
        <v>43221</v>
      </c>
      <c r="C285" s="18">
        <v>55.5</v>
      </c>
    </row>
    <row r="286" spans="2:3" ht="16.5" thickBot="1">
      <c r="B286" s="17">
        <v>43252</v>
      </c>
      <c r="C286" s="18">
        <v>55.5</v>
      </c>
    </row>
    <row r="287" spans="2:3" ht="16.5" thickBot="1">
      <c r="B287" s="17">
        <v>43282</v>
      </c>
      <c r="C287" s="18">
        <v>56.5</v>
      </c>
    </row>
    <row r="288" spans="2:3" ht="16.5" thickBot="1">
      <c r="B288" s="17">
        <v>43313</v>
      </c>
      <c r="C288" s="18">
        <v>55</v>
      </c>
    </row>
    <row r="289" spans="2:3" ht="16.5" thickBot="1">
      <c r="B289" s="17">
        <v>43344</v>
      </c>
      <c r="C289" s="18">
        <v>55.9</v>
      </c>
    </row>
    <row r="290" spans="2:3" ht="16.5" thickBot="1">
      <c r="B290" s="17">
        <v>43374</v>
      </c>
      <c r="C290" s="18">
        <v>55.8</v>
      </c>
    </row>
    <row r="291" spans="2:3" ht="16.5" thickBot="1">
      <c r="B291" s="17">
        <v>43405</v>
      </c>
      <c r="C291" s="18">
        <v>56.3</v>
      </c>
    </row>
    <row r="292" spans="2:3" ht="16.5" thickBot="1">
      <c r="B292" s="17">
        <v>43435</v>
      </c>
      <c r="C292" s="18">
        <v>52</v>
      </c>
    </row>
    <row r="293" spans="2:3" ht="16.5" thickBot="1">
      <c r="B293" s="17">
        <v>43466</v>
      </c>
      <c r="C293" s="18">
        <v>51.4</v>
      </c>
    </row>
    <row r="294" spans="2:3" ht="16.5" thickBot="1">
      <c r="B294" s="17">
        <v>43497</v>
      </c>
      <c r="C294" s="18">
        <v>51.1</v>
      </c>
    </row>
    <row r="295" spans="2:3" ht="16.5" thickBot="1">
      <c r="B295" s="17">
        <v>43525</v>
      </c>
      <c r="C295" s="18">
        <v>52.7</v>
      </c>
    </row>
    <row r="296" spans="2:3" ht="16.5" thickBot="1">
      <c r="B296" s="17">
        <v>43556</v>
      </c>
      <c r="C296" s="18">
        <v>50.6</v>
      </c>
    </row>
    <row r="297" spans="2:3" ht="16.5" thickBot="1">
      <c r="B297" s="17">
        <v>43586</v>
      </c>
      <c r="C297" s="18">
        <v>52.8</v>
      </c>
    </row>
    <row r="298" spans="2:3" ht="16.5" thickBot="1">
      <c r="B298" s="17">
        <v>43617</v>
      </c>
      <c r="C298" s="18">
        <v>52.8</v>
      </c>
    </row>
    <row r="299" spans="2:3" ht="16.5" thickBot="1">
      <c r="B299" s="17">
        <v>43647</v>
      </c>
      <c r="C299" s="18">
        <v>51.6</v>
      </c>
    </row>
    <row r="300" spans="2:3" ht="16.5" thickBot="1">
      <c r="B300" s="17">
        <v>43678</v>
      </c>
      <c r="C300" s="18">
        <v>52.3</v>
      </c>
    </row>
    <row r="301" spans="2:3" ht="16.5" thickBot="1">
      <c r="B301" s="17">
        <v>43709</v>
      </c>
      <c r="C301" s="18">
        <v>46.5</v>
      </c>
    </row>
    <row r="302" spans="2:3" ht="16.5" thickBot="1">
      <c r="B302" s="17">
        <v>43739</v>
      </c>
      <c r="C302" s="18">
        <v>46.3</v>
      </c>
    </row>
    <row r="303" spans="2:3" ht="16.5" thickBot="1">
      <c r="B303" s="17">
        <v>43770</v>
      </c>
      <c r="C303" s="18">
        <v>46.2</v>
      </c>
    </row>
    <row r="304" spans="2:3" ht="16.5" thickBot="1">
      <c r="B304" s="17">
        <v>43800</v>
      </c>
      <c r="C304" s="18">
        <v>46.6</v>
      </c>
    </row>
    <row r="305" spans="2:3" ht="16.5" thickBot="1">
      <c r="B305" s="17">
        <v>43831</v>
      </c>
      <c r="C305" s="18">
        <v>51</v>
      </c>
    </row>
    <row r="306" spans="2:3" ht="16.5" thickBot="1">
      <c r="B306" s="17">
        <v>43862</v>
      </c>
      <c r="C306" s="18">
        <v>52.3</v>
      </c>
    </row>
    <row r="307" spans="2:3" ht="16.5" thickBot="1">
      <c r="B307" s="17">
        <v>43891</v>
      </c>
      <c r="C307" s="18">
        <v>43.7</v>
      </c>
    </row>
    <row r="308" spans="2:3" ht="16.5" thickBot="1">
      <c r="B308" s="17">
        <v>43922</v>
      </c>
      <c r="C308" s="18">
        <v>36</v>
      </c>
    </row>
    <row r="309" spans="2:3" ht="16.5" thickBot="1">
      <c r="B309" s="17">
        <v>43952</v>
      </c>
      <c r="C309" s="18">
        <v>39.799999999999997</v>
      </c>
    </row>
    <row r="310" spans="2:3" ht="16.5" thickBot="1">
      <c r="B310" s="17">
        <v>43983</v>
      </c>
      <c r="C310" s="18">
        <v>49.2</v>
      </c>
    </row>
    <row r="311" spans="2:3" ht="16.5" thickBot="1">
      <c r="B311" s="17">
        <v>44013</v>
      </c>
      <c r="C311" s="18">
        <v>51.9</v>
      </c>
    </row>
    <row r="312" spans="2:3" ht="16.5" thickBot="1">
      <c r="B312" s="17">
        <v>44044</v>
      </c>
      <c r="C312" s="18">
        <v>55.2</v>
      </c>
    </row>
    <row r="313" spans="2:3" ht="16.5" thickBot="1">
      <c r="B313" s="17">
        <v>44075</v>
      </c>
      <c r="C313" s="18">
        <v>56.7</v>
      </c>
    </row>
    <row r="314" spans="2:3" ht="16.5" thickBot="1">
      <c r="B314" s="17">
        <v>44105</v>
      </c>
      <c r="C314" s="18">
        <v>59.1</v>
      </c>
    </row>
    <row r="315" spans="2:3" ht="16.5" thickBot="1">
      <c r="B315" s="17">
        <v>44136</v>
      </c>
      <c r="C315" s="18">
        <v>59.9</v>
      </c>
    </row>
    <row r="316" spans="2:3" ht="16.5" thickBot="1">
      <c r="B316" s="17">
        <v>44166</v>
      </c>
      <c r="C316" s="18">
        <v>64.400000000000006</v>
      </c>
    </row>
    <row r="317" spans="2:3" ht="16.5" thickBot="1">
      <c r="B317" s="17">
        <v>44197</v>
      </c>
      <c r="C317" s="18">
        <v>62</v>
      </c>
    </row>
    <row r="318" spans="2:3" ht="16.5" thickBot="1">
      <c r="B318" s="17">
        <v>44228</v>
      </c>
      <c r="C318" s="18">
        <v>61.5</v>
      </c>
    </row>
    <row r="319" spans="2:3" ht="16.5" thickBot="1">
      <c r="B319" s="17">
        <v>44256</v>
      </c>
      <c r="C319" s="18">
        <v>64.400000000000006</v>
      </c>
    </row>
    <row r="320" spans="2:3" ht="16.5" thickBot="1">
      <c r="B320" s="17">
        <v>44287</v>
      </c>
      <c r="C320" s="18">
        <v>68.5</v>
      </c>
    </row>
    <row r="321" spans="2:3" ht="16.5" thickBot="1">
      <c r="B321" s="17">
        <v>44317</v>
      </c>
      <c r="C321" s="18">
        <v>65.8</v>
      </c>
    </row>
    <row r="322" spans="2:3" ht="16.5" thickBot="1">
      <c r="B322" s="17">
        <v>44348</v>
      </c>
      <c r="C322" s="18">
        <v>65.7</v>
      </c>
    </row>
    <row r="323" spans="2:3" ht="16.5" thickBot="1">
      <c r="B323" s="17">
        <v>44378</v>
      </c>
      <c r="C323" s="18">
        <v>64.8</v>
      </c>
    </row>
    <row r="324" spans="2:3" ht="16.5" thickBot="1">
      <c r="B324" s="17">
        <v>44409</v>
      </c>
      <c r="C324" s="18">
        <v>60.7</v>
      </c>
    </row>
    <row r="325" spans="2:3" ht="16.5" thickBot="1">
      <c r="B325" s="17">
        <v>44440</v>
      </c>
      <c r="C325" s="18">
        <v>65.2</v>
      </c>
    </row>
    <row r="326" spans="2:3" ht="16.5" thickBot="1">
      <c r="B326" s="17">
        <v>44470</v>
      </c>
      <c r="C326" s="18">
        <v>64.5</v>
      </c>
    </row>
    <row r="327" spans="2:3" ht="16.5" thickBot="1">
      <c r="B327" s="17">
        <v>44501</v>
      </c>
      <c r="C327" s="18">
        <v>62.9</v>
      </c>
    </row>
    <row r="328" spans="2:3" ht="16.5" thickBot="1">
      <c r="B328" s="17">
        <v>44531</v>
      </c>
      <c r="C328" s="18">
        <v>61.1</v>
      </c>
    </row>
    <row r="329" spans="2:3" ht="16.5" thickBot="1">
      <c r="B329" s="17">
        <v>44562</v>
      </c>
      <c r="C329" s="18">
        <v>61.9</v>
      </c>
    </row>
    <row r="330" spans="2:3" ht="16.5" thickBot="1">
      <c r="B330" s="17">
        <v>44593</v>
      </c>
      <c r="C330" s="18">
        <v>57.5</v>
      </c>
    </row>
    <row r="331" spans="2:3" ht="16.5" thickBot="1">
      <c r="B331" s="17">
        <v>44621</v>
      </c>
      <c r="C331" s="18">
        <v>57</v>
      </c>
    </row>
    <row r="332" spans="2:3" ht="16.5" thickBot="1">
      <c r="B332" s="17">
        <v>44652</v>
      </c>
      <c r="C332" s="18">
        <v>54.2</v>
      </c>
    </row>
    <row r="333" spans="2:3" ht="16.5" thickBot="1">
      <c r="B333" s="17">
        <v>44682</v>
      </c>
      <c r="C333" s="18">
        <v>54.6</v>
      </c>
    </row>
    <row r="334" spans="2:3" ht="16.5" thickBot="1">
      <c r="B334" s="17">
        <v>44713</v>
      </c>
      <c r="C334" s="18">
        <v>52.9</v>
      </c>
    </row>
    <row r="335" spans="2:3" ht="16.5" thickBot="1">
      <c r="B335" s="17">
        <v>44743</v>
      </c>
      <c r="C335" s="18">
        <v>51.9</v>
      </c>
    </row>
    <row r="336" spans="2:3" ht="16.5" thickBot="1">
      <c r="B336" s="17">
        <v>44774</v>
      </c>
      <c r="C336" s="18">
        <v>49.8</v>
      </c>
    </row>
    <row r="337" spans="2:3" ht="16.5" thickBot="1">
      <c r="B337" s="17">
        <v>44805</v>
      </c>
      <c r="C337" s="18">
        <v>49.9</v>
      </c>
    </row>
    <row r="338" spans="2:3" ht="16.5" thickBot="1">
      <c r="B338" s="17">
        <v>44835</v>
      </c>
      <c r="C338" s="18">
        <v>47.1</v>
      </c>
    </row>
    <row r="339" spans="2:3" ht="16.5" thickBot="1">
      <c r="B339" s="17">
        <v>44866</v>
      </c>
      <c r="C339" s="18">
        <v>45.6</v>
      </c>
    </row>
    <row r="340" spans="2:3" ht="16.5" thickBot="1">
      <c r="B340" s="17">
        <v>44896</v>
      </c>
      <c r="C340" s="18">
        <v>45.8</v>
      </c>
    </row>
    <row r="341" spans="2:3" ht="16.5" thickBot="1">
      <c r="B341" s="17">
        <v>44927</v>
      </c>
      <c r="C341" s="18">
        <v>46.9</v>
      </c>
    </row>
    <row r="342" spans="2:3" ht="16.5" thickBot="1">
      <c r="B342" s="17">
        <v>44958</v>
      </c>
      <c r="C342" s="18">
        <v>46.9</v>
      </c>
    </row>
    <row r="343" spans="2:3" ht="16.5" thickBot="1">
      <c r="B343" s="17">
        <v>44986</v>
      </c>
      <c r="C343" s="18">
        <v>45.5</v>
      </c>
    </row>
    <row r="344" spans="2:3" ht="16.5" thickBot="1">
      <c r="B344" s="17">
        <v>45017</v>
      </c>
      <c r="C344" s="18">
        <v>45.3</v>
      </c>
    </row>
    <row r="345" spans="2:3" ht="16.5" thickBot="1">
      <c r="B345" s="17">
        <v>45047</v>
      </c>
      <c r="C345" s="18">
        <v>40.4</v>
      </c>
    </row>
    <row r="346" spans="2:3" ht="16.5" thickBot="1">
      <c r="B346" s="17">
        <v>45078</v>
      </c>
      <c r="C346" s="18">
        <v>44.8</v>
      </c>
    </row>
    <row r="347" spans="2:3" ht="16.5" thickBot="1">
      <c r="B347" s="17">
        <v>45108</v>
      </c>
      <c r="C347" s="18">
        <v>48.4</v>
      </c>
    </row>
    <row r="348" spans="2:3" ht="16.5" thickBot="1">
      <c r="B348" s="17">
        <v>45139</v>
      </c>
      <c r="C348" s="18">
        <v>45.8</v>
      </c>
    </row>
    <row r="349" spans="2:3" ht="16.5" thickBot="1">
      <c r="B349" s="17">
        <v>45170</v>
      </c>
      <c r="C349" s="18">
        <v>44.2</v>
      </c>
    </row>
    <row r="350" spans="2:3" ht="16.5" thickBot="1">
      <c r="B350" s="17">
        <v>45200</v>
      </c>
      <c r="C350" s="18">
        <v>46.3</v>
      </c>
    </row>
    <row r="351" spans="2:3" ht="16.5" thickBot="1">
      <c r="B351" s="17">
        <v>45231</v>
      </c>
      <c r="C351" s="18">
        <v>48.9</v>
      </c>
    </row>
    <row r="352" spans="2:3" ht="16.5" thickBot="1">
      <c r="B352" s="17">
        <v>45261</v>
      </c>
      <c r="C352" s="18">
        <v>49</v>
      </c>
    </row>
    <row r="353" spans="2:3" ht="16.5" thickBot="1">
      <c r="B353" s="17">
        <v>45292</v>
      </c>
      <c r="C353" s="18">
        <v>47.4</v>
      </c>
    </row>
    <row r="354" spans="2:3" ht="16.5" thickBot="1">
      <c r="B354" s="17">
        <v>45323</v>
      </c>
      <c r="C354" s="18">
        <v>49.3</v>
      </c>
    </row>
    <row r="355" spans="2:3" ht="16.5" thickBot="1">
      <c r="B355" s="17">
        <v>45352</v>
      </c>
      <c r="C355" s="18">
        <v>50.2</v>
      </c>
    </row>
    <row r="356" spans="2:3" ht="16.5" thickBot="1">
      <c r="B356" s="17">
        <v>45383</v>
      </c>
      <c r="C356" s="18">
        <v>51.3</v>
      </c>
    </row>
    <row r="357" spans="2:3" ht="16.5" thickBot="1">
      <c r="B357" s="17">
        <v>45413</v>
      </c>
      <c r="C357" s="18">
        <v>54.2</v>
      </c>
    </row>
    <row r="358" spans="2:3" ht="16.5" thickBot="1">
      <c r="B358" s="17">
        <v>45444</v>
      </c>
      <c r="C358" s="18">
        <v>53.3</v>
      </c>
    </row>
    <row r="359" spans="2:3" ht="16.5" thickBot="1">
      <c r="B359" s="17">
        <v>45474</v>
      </c>
      <c r="C359" s="18">
        <v>49.5</v>
      </c>
    </row>
    <row r="360" spans="2:3" ht="16.5" thickBot="1">
      <c r="B360" s="17">
        <v>45505</v>
      </c>
      <c r="C360" s="18">
        <v>52.6</v>
      </c>
    </row>
    <row r="361" spans="2:3" ht="16.5" thickBot="1">
      <c r="B361" s="17">
        <v>45536</v>
      </c>
      <c r="C361" s="18">
        <v>51.4</v>
      </c>
    </row>
    <row r="362" spans="2:3" ht="16.5" thickBot="1">
      <c r="B362" s="17">
        <v>45566</v>
      </c>
      <c r="C362" s="18">
        <v>53</v>
      </c>
    </row>
    <row r="363" spans="2:3" ht="16.5" thickBot="1">
      <c r="B363" s="17">
        <v>45597</v>
      </c>
      <c r="C363" s="18">
        <v>53.8</v>
      </c>
    </row>
    <row r="364" spans="2:3" ht="16.5" thickBot="1">
      <c r="B364" s="17">
        <v>45627</v>
      </c>
      <c r="C364" s="18">
        <v>52.4</v>
      </c>
    </row>
    <row r="365" spans="2:3" ht="16.5" thickBot="1">
      <c r="B365" s="17">
        <v>45658</v>
      </c>
      <c r="C365" s="18">
        <v>53.1</v>
      </c>
    </row>
    <row r="366" spans="2:3" ht="16.5" thickBot="1">
      <c r="B366" s="17">
        <v>45689</v>
      </c>
      <c r="C366" s="18">
        <v>53.4</v>
      </c>
    </row>
    <row r="367" spans="2:3" ht="16.5" thickBot="1">
      <c r="B367" s="17">
        <v>45717</v>
      </c>
      <c r="C367" s="18">
        <v>53.8</v>
      </c>
    </row>
    <row r="368" spans="2:3" ht="16.5" thickBot="1">
      <c r="B368" s="17">
        <v>45748</v>
      </c>
      <c r="C368" s="18">
        <v>54.1</v>
      </c>
    </row>
    <row r="369" spans="2:3" ht="16.5" thickBot="1">
      <c r="B369" s="17">
        <v>45778</v>
      </c>
      <c r="C369" s="18">
        <v>53.6</v>
      </c>
    </row>
    <row r="370" spans="2:3" ht="16.5" thickBot="1">
      <c r="B370" s="17">
        <v>45809</v>
      </c>
      <c r="C370" s="18">
        <v>51.9</v>
      </c>
    </row>
    <row r="371" spans="2:3" ht="16.5" thickBot="1">
      <c r="B371" s="17">
        <v>45839</v>
      </c>
      <c r="C371" s="18">
        <v>54.6</v>
      </c>
    </row>
    <row r="372" spans="2:3" ht="16.5" thickBot="1">
      <c r="B372" s="17">
        <v>45870</v>
      </c>
      <c r="C372" s="18">
        <v>55.3</v>
      </c>
    </row>
    <row r="373" spans="2:3" ht="16.5" thickBot="1">
      <c r="B373" s="17">
        <v>45901</v>
      </c>
      <c r="C373" s="18">
        <v>55.6</v>
      </c>
    </row>
    <row r="374" spans="2:3" ht="16.5" thickBot="1">
      <c r="B374" s="17">
        <v>45931</v>
      </c>
      <c r="C374" s="18">
        <v>55.1</v>
      </c>
    </row>
    <row r="375" spans="2:3" ht="16.5" thickBot="1">
      <c r="B375" s="17">
        <v>45962</v>
      </c>
      <c r="C375" s="18">
        <v>54.8</v>
      </c>
    </row>
    <row r="376" spans="2:3" ht="16.5" thickBot="1">
      <c r="B376" s="17">
        <v>45992</v>
      </c>
      <c r="C376" s="18">
        <v>55.4</v>
      </c>
    </row>
    <row r="377" spans="2:3" ht="16.5" thickBot="1">
      <c r="B377" s="17">
        <v>46023</v>
      </c>
      <c r="C377" s="18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PMI Sweden</vt:lpstr>
      <vt:lpstr>12 month Rooling graph</vt:lpstr>
    </vt:vector>
  </TitlesOfParts>
  <Company>Schunk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Normal</dc:creator>
  <cp:lastModifiedBy>Berg, Tomas</cp:lastModifiedBy>
  <cp:lastPrinted>2012-02-22T06:52:23Z</cp:lastPrinted>
  <dcterms:created xsi:type="dcterms:W3CDTF">2008-08-26T06:36:46Z</dcterms:created>
  <dcterms:modified xsi:type="dcterms:W3CDTF">2026-02-25T10:14:13Z</dcterms:modified>
</cp:coreProperties>
</file>